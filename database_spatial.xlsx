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nuelmariafrois/Desktop/Projeto Espacial/"/>
    </mc:Choice>
  </mc:AlternateContent>
  <xr:revisionPtr revIDLastSave="0" documentId="13_ncr:1_{FB1F8794-78B4-DE43-BD3D-E0AE7156D8B4}" xr6:coauthVersionLast="47" xr6:coauthVersionMax="47" xr10:uidLastSave="{00000000-0000-0000-0000-000000000000}"/>
  <bookViews>
    <workbookView xWindow="0" yWindow="600" windowWidth="28800" windowHeight="18000" activeTab="1" xr2:uid="{568B7F2B-3385-ED42-B6E0-3949A4B087DB}"/>
  </bookViews>
  <sheets>
    <sheet name="Final Database" sheetId="18" r:id="rId1"/>
    <sheet name="Data Description" sheetId="16" r:id="rId2"/>
    <sheet name="Unclean Data" sheetId="17" r:id="rId3"/>
    <sheet name="Recipients of unemployment bene" sheetId="12" state="hidden" r:id="rId4"/>
    <sheet name="EMPL with higher educ" sheetId="1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80B64-A1C1-465A-87C8-E789C6EDA50E}" keepAlive="1" name="Query - Tabelle3" description="Verbindung mit der Abfrage 'Tabelle3' in der Arbeitsmappe." type="5" refreshedVersion="0" background="1">
    <dbPr connection="Provider=Microsoft.Mashup.OleDb.1;Data Source=$Workbook$;Location=Tabelle3;Extended Properties=&quot;&quot;" command="SELECT * FROM [Tabelle3]"/>
  </connection>
</connections>
</file>

<file path=xl/sharedStrings.xml><?xml version="1.0" encoding="utf-8"?>
<sst xmlns="http://schemas.openxmlformats.org/spreadsheetml/2006/main" count="1280" uniqueCount="666">
  <si>
    <t>DICO</t>
  </si>
  <si>
    <t>Name</t>
  </si>
  <si>
    <t>migc</t>
  </si>
  <si>
    <t>Crimec</t>
  </si>
  <si>
    <t>unemp21</t>
  </si>
  <si>
    <t>educ21</t>
  </si>
  <si>
    <t>Votersc</t>
  </si>
  <si>
    <t>CHC</t>
  </si>
  <si>
    <t>PCPC</t>
  </si>
  <si>
    <t>RSI21</t>
  </si>
  <si>
    <t>PP21</t>
  </si>
  <si>
    <t>bus_pc21</t>
  </si>
  <si>
    <t>pens_pc21</t>
  </si>
  <si>
    <t>unempbenc</t>
  </si>
  <si>
    <t>Abrantes</t>
  </si>
  <si>
    <t>Águeda</t>
  </si>
  <si>
    <t>Aguiar da Beira</t>
  </si>
  <si>
    <t>Alandroal</t>
  </si>
  <si>
    <t>Albergaria-a-Velha</t>
  </si>
  <si>
    <t>Albufeira</t>
  </si>
  <si>
    <t>Alcácer do Sal</t>
  </si>
  <si>
    <t>Alcanena</t>
  </si>
  <si>
    <t>Alcobaça</t>
  </si>
  <si>
    <t>Alcochete</t>
  </si>
  <si>
    <t>Alcoutim</t>
  </si>
  <si>
    <t>Alenquer</t>
  </si>
  <si>
    <t>Alfândega da Fé</t>
  </si>
  <si>
    <t>Alijó</t>
  </si>
  <si>
    <t>Aljezur</t>
  </si>
  <si>
    <t>Aljustrel</t>
  </si>
  <si>
    <t>Almada</t>
  </si>
  <si>
    <t>Almeida</t>
  </si>
  <si>
    <t>Almeirim</t>
  </si>
  <si>
    <t>Almodôvar</t>
  </si>
  <si>
    <t>Alpiarça</t>
  </si>
  <si>
    <t>Alter do Chão</t>
  </si>
  <si>
    <t>Alvaiázere</t>
  </si>
  <si>
    <t>Alvito</t>
  </si>
  <si>
    <t>Amadora</t>
  </si>
  <si>
    <t>Amarante</t>
  </si>
  <si>
    <t>Amares</t>
  </si>
  <si>
    <t>Anadia</t>
  </si>
  <si>
    <t>Ansião</t>
  </si>
  <si>
    <t>Arcos de Valdevez</t>
  </si>
  <si>
    <t>Arganil</t>
  </si>
  <si>
    <t>Armamar</t>
  </si>
  <si>
    <t>Arouca</t>
  </si>
  <si>
    <t>Arraiolos</t>
  </si>
  <si>
    <t>Arronches</t>
  </si>
  <si>
    <t>Arruda dos Vinhos</t>
  </si>
  <si>
    <t>Aveiro</t>
  </si>
  <si>
    <t>Avis</t>
  </si>
  <si>
    <t>Azambuja</t>
  </si>
  <si>
    <t>Baião</t>
  </si>
  <si>
    <t>Barcelos</t>
  </si>
  <si>
    <t>Barrancos</t>
  </si>
  <si>
    <t>Barreiro</t>
  </si>
  <si>
    <t>Batalha</t>
  </si>
  <si>
    <t>Beja</t>
  </si>
  <si>
    <t>Belmonte</t>
  </si>
  <si>
    <t>Benavente</t>
  </si>
  <si>
    <t>Bombarral</t>
  </si>
  <si>
    <t>Borba</t>
  </si>
  <si>
    <t>Boticas</t>
  </si>
  <si>
    <t>Braga</t>
  </si>
  <si>
    <t>Bragança</t>
  </si>
  <si>
    <t>Cabeceiras de Basto</t>
  </si>
  <si>
    <t>Cadaval</t>
  </si>
  <si>
    <t>Caldas da Rainha</t>
  </si>
  <si>
    <t>Caminha</t>
  </si>
  <si>
    <t>Campo Maior</t>
  </si>
  <si>
    <t>Cantanhede</t>
  </si>
  <si>
    <t>Carrazeda de Ansiães</t>
  </si>
  <si>
    <t>Carregal do Sal</t>
  </si>
  <si>
    <t>Cartaxo</t>
  </si>
  <si>
    <t>Cascais</t>
  </si>
  <si>
    <t>Castanheira de Pêra</t>
  </si>
  <si>
    <t>Castelo Branco</t>
  </si>
  <si>
    <t>Castelo de Paiva</t>
  </si>
  <si>
    <t>Castelo de Vide</t>
  </si>
  <si>
    <t>Castro Daire</t>
  </si>
  <si>
    <t>Castro Marim</t>
  </si>
  <si>
    <t>Castro Verde</t>
  </si>
  <si>
    <t>Celorico da Beira</t>
  </si>
  <si>
    <t>Celorico de Basto</t>
  </si>
  <si>
    <t>Chamusca</t>
  </si>
  <si>
    <t>Chaves</t>
  </si>
  <si>
    <t>Cinfães</t>
  </si>
  <si>
    <t>Coimbra</t>
  </si>
  <si>
    <t>Condeixa-a-Nova</t>
  </si>
  <si>
    <t>Constância</t>
  </si>
  <si>
    <t>Coruche</t>
  </si>
  <si>
    <t>Covilhã</t>
  </si>
  <si>
    <t>Crato</t>
  </si>
  <si>
    <t>Cuba</t>
  </si>
  <si>
    <t>Elvas</t>
  </si>
  <si>
    <t>Entroncamento</t>
  </si>
  <si>
    <t>Espinho</t>
  </si>
  <si>
    <t>Esposende</t>
  </si>
  <si>
    <t>Estarreja</t>
  </si>
  <si>
    <t>Estremoz</t>
  </si>
  <si>
    <t>Évora</t>
  </si>
  <si>
    <t>Fafe</t>
  </si>
  <si>
    <t>Faro</t>
  </si>
  <si>
    <t>Felgueiras</t>
  </si>
  <si>
    <t>Ferreira do Alentejo</t>
  </si>
  <si>
    <t>Ferreira do Zêzere</t>
  </si>
  <si>
    <t>Figueira da Foz</t>
  </si>
  <si>
    <t>Figueira de Castelo Rodrigo</t>
  </si>
  <si>
    <t>Figueiró dos Vinhos</t>
  </si>
  <si>
    <t>Fornos de Algodres</t>
  </si>
  <si>
    <t>Freixo de Espada à Cinta</t>
  </si>
  <si>
    <t>Fronteira</t>
  </si>
  <si>
    <t>Fundão</t>
  </si>
  <si>
    <t>Gavião</t>
  </si>
  <si>
    <t>Góis</t>
  </si>
  <si>
    <t>Golegã</t>
  </si>
  <si>
    <t>Gondomar</t>
  </si>
  <si>
    <t>Gouveia</t>
  </si>
  <si>
    <t>Grândola</t>
  </si>
  <si>
    <t>Guarda</t>
  </si>
  <si>
    <t>Guimarães</t>
  </si>
  <si>
    <t>Idanha-a-Nova</t>
  </si>
  <si>
    <t>Ílhavo</t>
  </si>
  <si>
    <t>Lagoa</t>
  </si>
  <si>
    <t>Lagos</t>
  </si>
  <si>
    <t>Lamego</t>
  </si>
  <si>
    <t>Leiria</t>
  </si>
  <si>
    <t>Lisboa</t>
  </si>
  <si>
    <t>Loulé</t>
  </si>
  <si>
    <t>Loures</t>
  </si>
  <si>
    <t>Lourinhã</t>
  </si>
  <si>
    <t>Lousã</t>
  </si>
  <si>
    <t>Lousada</t>
  </si>
  <si>
    <t>Mação</t>
  </si>
  <si>
    <t>Macedo de Cavaleiros</t>
  </si>
  <si>
    <t>Mafra</t>
  </si>
  <si>
    <t>Maia</t>
  </si>
  <si>
    <t>Mangualde</t>
  </si>
  <si>
    <t>Manteigas</t>
  </si>
  <si>
    <t>Marco de Canaveses</t>
  </si>
  <si>
    <t>Marinha Grande</t>
  </si>
  <si>
    <t>Marvão</t>
  </si>
  <si>
    <t>Matosinhos</t>
  </si>
  <si>
    <t>Mealhada</t>
  </si>
  <si>
    <t>Mêda</t>
  </si>
  <si>
    <t>Melgaço</t>
  </si>
  <si>
    <t>Mértola</t>
  </si>
  <si>
    <t>Mesão Frio</t>
  </si>
  <si>
    <t>Mira</t>
  </si>
  <si>
    <t>Miranda do Corvo</t>
  </si>
  <si>
    <t>Miranda do Douro</t>
  </si>
  <si>
    <t>Mirandela</t>
  </si>
  <si>
    <t>Mogadouro</t>
  </si>
  <si>
    <t>Moimenta da Beira</t>
  </si>
  <si>
    <t>Moita</t>
  </si>
  <si>
    <t>Monção</t>
  </si>
  <si>
    <t>Monchique</t>
  </si>
  <si>
    <t>Mondim de Basto</t>
  </si>
  <si>
    <t>Monforte</t>
  </si>
  <si>
    <t>Montalegre</t>
  </si>
  <si>
    <t>Montemor-o-Novo</t>
  </si>
  <si>
    <t>Montemor-o-Velho</t>
  </si>
  <si>
    <t>Montijo</t>
  </si>
  <si>
    <t>Mora</t>
  </si>
  <si>
    <t>Mortágua</t>
  </si>
  <si>
    <t>Moura</t>
  </si>
  <si>
    <t>Mourão</t>
  </si>
  <si>
    <t>Murça</t>
  </si>
  <si>
    <t>Murtosa</t>
  </si>
  <si>
    <t>Nazaré</t>
  </si>
  <si>
    <t>Nelas</t>
  </si>
  <si>
    <t>Nisa</t>
  </si>
  <si>
    <t>Óbidos</t>
  </si>
  <si>
    <t>Odemira</t>
  </si>
  <si>
    <t>Odivelas</t>
  </si>
  <si>
    <t>Oeiras</t>
  </si>
  <si>
    <t>Oleiros</t>
  </si>
  <si>
    <t>Olhão</t>
  </si>
  <si>
    <t>Oliveira de Azeméis</t>
  </si>
  <si>
    <t>Oliveira de Frades</t>
  </si>
  <si>
    <t>Oliveira do Bairro</t>
  </si>
  <si>
    <t>Oliveira do Hospital</t>
  </si>
  <si>
    <t>Ourém</t>
  </si>
  <si>
    <t>Ourique</t>
  </si>
  <si>
    <t>Ovar</t>
  </si>
  <si>
    <t>Paços de Ferreira</t>
  </si>
  <si>
    <t>Palmela</t>
  </si>
  <si>
    <t>Pampilhosa da Serra</t>
  </si>
  <si>
    <t>Paredes</t>
  </si>
  <si>
    <t>Paredes de Coura</t>
  </si>
  <si>
    <t>Pedrógão Grande</t>
  </si>
  <si>
    <t>Penacova</t>
  </si>
  <si>
    <t>Penafiel</t>
  </si>
  <si>
    <t>Penalva do Castelo</t>
  </si>
  <si>
    <t>Penamacor</t>
  </si>
  <si>
    <t>Penedono</t>
  </si>
  <si>
    <t>Penela</t>
  </si>
  <si>
    <t>Peniche</t>
  </si>
  <si>
    <t>Peso da Régua</t>
  </si>
  <si>
    <t>Pinhel</t>
  </si>
  <si>
    <t>Pombal</t>
  </si>
  <si>
    <t>Ponte da Barca</t>
  </si>
  <si>
    <t>Ponte de Lima</t>
  </si>
  <si>
    <t>Ponte de Sor</t>
  </si>
  <si>
    <t>Portalegre</t>
  </si>
  <si>
    <t>Portel</t>
  </si>
  <si>
    <t>Portimão</t>
  </si>
  <si>
    <t>Porto</t>
  </si>
  <si>
    <t>Porto de Mós</t>
  </si>
  <si>
    <t>Póvoa de Lanhoso</t>
  </si>
  <si>
    <t>Póvoa de Varzim</t>
  </si>
  <si>
    <t>Proença-a-Nova</t>
  </si>
  <si>
    <t>Redondo</t>
  </si>
  <si>
    <t>Reguengos de Monsaraz</t>
  </si>
  <si>
    <t>Resende</t>
  </si>
  <si>
    <t>Ribeira de Pena</t>
  </si>
  <si>
    <t>Rio Maior</t>
  </si>
  <si>
    <t>Sabrosa</t>
  </si>
  <si>
    <t>Sabugal</t>
  </si>
  <si>
    <t>Salvaterra de Magos</t>
  </si>
  <si>
    <t>Santa Comba Dão</t>
  </si>
  <si>
    <t>Santa Maria da Feira</t>
  </si>
  <si>
    <t>Santa Marta de Penaguião</t>
  </si>
  <si>
    <t>Santarém</t>
  </si>
  <si>
    <t>Santiago do Cacém</t>
  </si>
  <si>
    <t>Santo Tirso</t>
  </si>
  <si>
    <t>São Brás de Alportel</t>
  </si>
  <si>
    <t>São João da Madeira</t>
  </si>
  <si>
    <t>São João da Pesqueira</t>
  </si>
  <si>
    <t>São Pedro do Sul</t>
  </si>
  <si>
    <t>Sardoal</t>
  </si>
  <si>
    <t>Sátão</t>
  </si>
  <si>
    <t>Seia</t>
  </si>
  <si>
    <t>Seixal</t>
  </si>
  <si>
    <t>Sernancelhe</t>
  </si>
  <si>
    <t>Serpa</t>
  </si>
  <si>
    <t>Sertã</t>
  </si>
  <si>
    <t>Sesimbra</t>
  </si>
  <si>
    <t>Setúbal</t>
  </si>
  <si>
    <t>Sever do Vouga</t>
  </si>
  <si>
    <t>Silves</t>
  </si>
  <si>
    <t>Sines</t>
  </si>
  <si>
    <t>Sintra</t>
  </si>
  <si>
    <t>Sobral de Monte Agraço</t>
  </si>
  <si>
    <t>Soure</t>
  </si>
  <si>
    <t>Sousel</t>
  </si>
  <si>
    <t>Tábua</t>
  </si>
  <si>
    <t>Tabuaço</t>
  </si>
  <si>
    <t>Tarouca</t>
  </si>
  <si>
    <t>Tavira</t>
  </si>
  <si>
    <t>Terras de Bouro</t>
  </si>
  <si>
    <t>Tomar</t>
  </si>
  <si>
    <t>Tondela</t>
  </si>
  <si>
    <t>Torre de Moncorvo</t>
  </si>
  <si>
    <t>Torres Novas</t>
  </si>
  <si>
    <t>Torres Vedras</t>
  </si>
  <si>
    <t>Trancoso</t>
  </si>
  <si>
    <t>Trofa</t>
  </si>
  <si>
    <t>Vagos</t>
  </si>
  <si>
    <t>Vale de Cambra</t>
  </si>
  <si>
    <t>Valença</t>
  </si>
  <si>
    <t>Valongo</t>
  </si>
  <si>
    <t>Valpaços</t>
  </si>
  <si>
    <t>Vendas Novas</t>
  </si>
  <si>
    <t>Viana do Alentejo</t>
  </si>
  <si>
    <t>Viana do Castelo</t>
  </si>
  <si>
    <t>Vidigueira</t>
  </si>
  <si>
    <t>Vieira do Minho</t>
  </si>
  <si>
    <t>Vila de Rei</t>
  </si>
  <si>
    <t>Vila do Bispo</t>
  </si>
  <si>
    <t>Vila do Conde</t>
  </si>
  <si>
    <t>Vila Flor</t>
  </si>
  <si>
    <t>Vila Franca de Xira</t>
  </si>
  <si>
    <t>Vila Nova da Barquinha</t>
  </si>
  <si>
    <t>Vila Nova de Cerveira</t>
  </si>
  <si>
    <t>Vila Nova de Famalicão</t>
  </si>
  <si>
    <t>Vila Nova de Foz Côa</t>
  </si>
  <si>
    <t>Vila Nova de Gaia</t>
  </si>
  <si>
    <t>Vila Nova de Paiva</t>
  </si>
  <si>
    <t>Vila Nova de Poiares</t>
  </si>
  <si>
    <t>Vila Pouca de Aguiar</t>
  </si>
  <si>
    <t>Vila Real</t>
  </si>
  <si>
    <t>Vila Real de Santo António</t>
  </si>
  <si>
    <t>Vila Velha de Ródão</t>
  </si>
  <si>
    <t>Vila Verde</t>
  </si>
  <si>
    <t>Vila Viçosa</t>
  </si>
  <si>
    <t>Vimioso</t>
  </si>
  <si>
    <t>Vinhais</t>
  </si>
  <si>
    <t>Viseu</t>
  </si>
  <si>
    <t>Vizela</t>
  </si>
  <si>
    <t>Vouzela</t>
  </si>
  <si>
    <t>Variable</t>
  </si>
  <si>
    <t>Time Frame</t>
  </si>
  <si>
    <t>Type</t>
  </si>
  <si>
    <t>Description</t>
  </si>
  <si>
    <t>Font</t>
  </si>
  <si>
    <t>Political:</t>
  </si>
  <si>
    <t> </t>
  </si>
  <si>
    <t>Chega Change</t>
  </si>
  <si>
    <t>2024-2019</t>
  </si>
  <si>
    <t>Unstructural</t>
  </si>
  <si>
    <t>Simple change of percentage of chega voters by municipalities from 2019 to 2024</t>
  </si>
  <si>
    <t>INE</t>
  </si>
  <si>
    <t>Comunist party change</t>
  </si>
  <si>
    <t>Simple change of percentage of PCP voters by municipalities from 2019 to 2024</t>
  </si>
  <si>
    <t>VotersC</t>
  </si>
  <si>
    <t>Percentage of voters change</t>
  </si>
  <si>
    <t>Simple change of the percentage of voters by municipalities from 2019 to 2024</t>
  </si>
  <si>
    <t>Social:</t>
  </si>
  <si>
    <t>UnempBenc</t>
  </si>
  <si>
    <t>Recipients of unemployment benefits Change</t>
  </si>
  <si>
    <t>2022-2016</t>
  </si>
  <si>
    <t>Recipients of unemployment benefits represent the count of individuals receiving various social security unemployment supports—including main unemployment benefits, social benefits, and long-term aid—broken down by their place of residence in Portugal.</t>
  </si>
  <si>
    <t>Migc</t>
  </si>
  <si>
    <t>Migration Rate change</t>
  </si>
  <si>
    <t>2023-2019</t>
  </si>
  <si>
    <t>Structural</t>
  </si>
  <si>
    <t>Simple change of the numer of foigners who moved to the municipality for every thousand residents</t>
  </si>
  <si>
    <t>Crime Rate</t>
  </si>
  <si>
    <t>Crime rate for every thousand residents yearly comprises 1.Crimes of assault 2. Theft/purse snatching in public places 3. Theft of motor vehicle and theft in a motor vehicle 4. Driving a motor vehicle with a blood alcohol equal or above 1,2 g/l 5. Driving without legal documentation 6. Driving without legal documentation 7. Crimes against patrimony</t>
  </si>
  <si>
    <t>Unemp21</t>
  </si>
  <si>
    <t>Unemployment Rate</t>
  </si>
  <si>
    <t>( Unemployed population / Labor Force) /* 100</t>
  </si>
  <si>
    <t>AgeIndex</t>
  </si>
  <si>
    <t>Age Index</t>
  </si>
  <si>
    <t>By dividing the population of people older than 65 by the population under 15</t>
  </si>
  <si>
    <t>Pop</t>
  </si>
  <si>
    <t>Population</t>
  </si>
  <si>
    <t>Number of residents by age group and sex</t>
  </si>
  <si>
    <t>PORDATA</t>
  </si>
  <si>
    <t>Educ21</t>
  </si>
  <si>
    <t>Education Rate</t>
  </si>
  <si>
    <t>Proportion of residents with completed university studies in percentage</t>
  </si>
  <si>
    <t>Economic:</t>
  </si>
  <si>
    <t>Penspc21</t>
  </si>
  <si>
    <t>Pensioners per capita</t>
  </si>
  <si>
    <t>Number of pensioneers for every thousand residents by municipality</t>
  </si>
  <si>
    <t>Bus_PC21</t>
  </si>
  <si>
    <t>Number of companies per capita</t>
  </si>
  <si>
    <t>Number of companies for every thousand residents by municipality</t>
  </si>
  <si>
    <t>Social Integration Income</t>
  </si>
  <si>
    <t>Number of residents who are in RSI program for every thousand residents</t>
  </si>
  <si>
    <t>Purchasing Power</t>
  </si>
  <si>
    <t>Purchasing power (also known as buying power) is the amount of goods or services that a single unit of currency (like one Dollar or one Euro) can buy at a given point in time.</t>
  </si>
  <si>
    <t>mig23</t>
  </si>
  <si>
    <t>mig19</t>
  </si>
  <si>
    <t>crime24</t>
  </si>
  <si>
    <t>crime19</t>
  </si>
  <si>
    <t>PP19</t>
  </si>
  <si>
    <t>IE24</t>
  </si>
  <si>
    <t>CH24</t>
  </si>
  <si>
    <t>CH19</t>
  </si>
  <si>
    <t>PCP24</t>
  </si>
  <si>
    <t>PCP19</t>
  </si>
  <si>
    <t>Voters24</t>
  </si>
  <si>
    <t>Voters19</t>
  </si>
  <si>
    <t>GINI23</t>
  </si>
  <si>
    <t>GINI 19</t>
  </si>
  <si>
    <t>Pension2022</t>
  </si>
  <si>
    <t>nr_comp_2022</t>
  </si>
  <si>
    <t>RSI_2022</t>
  </si>
  <si>
    <t>Pension2021</t>
  </si>
  <si>
    <t>nr_comp_2021</t>
  </si>
  <si>
    <t>RSI_2021</t>
  </si>
  <si>
    <t>Pension2019</t>
  </si>
  <si>
    <t>nr_comp_2019</t>
  </si>
  <si>
    <t>RSI_2019</t>
  </si>
  <si>
    <t>unempben16</t>
  </si>
  <si>
    <t>unemp22benef</t>
  </si>
  <si>
    <t>unempben16pc</t>
  </si>
  <si>
    <t>unempbem22pc</t>
  </si>
  <si>
    <t>pop16</t>
  </si>
  <si>
    <t>pop19</t>
  </si>
  <si>
    <t>pop20</t>
  </si>
  <si>
    <t>pop21</t>
  </si>
  <si>
    <t>pop22</t>
  </si>
  <si>
    <t>Recipients of unemployment benefits, of social security (No.) by Place of residence</t>
  </si>
  <si>
    <t>Place of residence (NUTS - 2013)</t>
  </si>
  <si>
    <t>MF2016</t>
  </si>
  <si>
    <t>MF2019</t>
  </si>
  <si>
    <t>MF2022</t>
  </si>
  <si>
    <t>16D0101:Águeda</t>
  </si>
  <si>
    <t>16D0102:Albergaria-a-Velha</t>
  </si>
  <si>
    <t>16D0103:Anadia</t>
  </si>
  <si>
    <t>11A0104:Arouca</t>
  </si>
  <si>
    <t>16D0105:Aveiro</t>
  </si>
  <si>
    <t>11C0106:Castelo de Paiva</t>
  </si>
  <si>
    <t>11A0107:Espinho</t>
  </si>
  <si>
    <t>16D0108:Estarreja</t>
  </si>
  <si>
    <t>11A0109:Santa Maria da Feira</t>
  </si>
  <si>
    <t>16D0110:Ílhavo</t>
  </si>
  <si>
    <t>16E0111:Mealhada</t>
  </si>
  <si>
    <t>16D0112:Murtosa</t>
  </si>
  <si>
    <t>11A0113:Oliveira de Azeméis</t>
  </si>
  <si>
    <t>16D0114:Oliveira do Bairro</t>
  </si>
  <si>
    <t>16D0115:Ovar</t>
  </si>
  <si>
    <t>11A0116:São João da Madeira</t>
  </si>
  <si>
    <t>16D0117:Sever do Vouga</t>
  </si>
  <si>
    <t>16D0118:Vagos</t>
  </si>
  <si>
    <t>11A0119:Vale de Cambra</t>
  </si>
  <si>
    <t>1840201:Aljustrel</t>
  </si>
  <si>
    <t>1840202:Almodôvar</t>
  </si>
  <si>
    <t>1840203:Alvito</t>
  </si>
  <si>
    <t>1840204:Barrancos</t>
  </si>
  <si>
    <t>1840205:Beja</t>
  </si>
  <si>
    <t>1840206:Castro Verde</t>
  </si>
  <si>
    <t>1840207:Cuba</t>
  </si>
  <si>
    <t>1840208:Ferreira do Alentejo</t>
  </si>
  <si>
    <t>1840209:Mértola</t>
  </si>
  <si>
    <t>1840210:Moura</t>
  </si>
  <si>
    <t>1810211:Odemira</t>
  </si>
  <si>
    <t>1840212:Ourique</t>
  </si>
  <si>
    <t>1840213:Serpa</t>
  </si>
  <si>
    <t>1840214:Vidigueira</t>
  </si>
  <si>
    <t>1120301:Amares</t>
  </si>
  <si>
    <t>1120302:Barcelos</t>
  </si>
  <si>
    <t>1120303:Braga</t>
  </si>
  <si>
    <t>1190304:Cabeceiras de Basto</t>
  </si>
  <si>
    <t>11C0305:Celorico de Basto</t>
  </si>
  <si>
    <t>1120306:Esposende</t>
  </si>
  <si>
    <t>1190307:Fafe</t>
  </si>
  <si>
    <t>1190308:Guimarães</t>
  </si>
  <si>
    <t>1190309:Póvoa de Lanhoso</t>
  </si>
  <si>
    <t>1120310:Terras de Bouro</t>
  </si>
  <si>
    <t>1190311:Vieira do Minho</t>
  </si>
  <si>
    <t>1190312:Vila Nova de Famalicão</t>
  </si>
  <si>
    <t>1120313:Vila Verde</t>
  </si>
  <si>
    <t>1190314:Vizela</t>
  </si>
  <si>
    <t>11E0401:Alfândega da Fé</t>
  </si>
  <si>
    <t>11E0402:Bragança</t>
  </si>
  <si>
    <t>11D0403:Carrazeda de Ansiães</t>
  </si>
  <si>
    <t>11D0404:Freixo de Espada à Cinta</t>
  </si>
  <si>
    <t>11E0405:Macedo de Cavaleiros</t>
  </si>
  <si>
    <t>11E0406:Miranda do Douro</t>
  </si>
  <si>
    <t>11E0407:Mirandela</t>
  </si>
  <si>
    <t>11E0408:Mogadouro</t>
  </si>
  <si>
    <t>11D0409:Torre de Moncorvo</t>
  </si>
  <si>
    <t>11E0410:Vila Flor</t>
  </si>
  <si>
    <t>11E0411:Vimioso</t>
  </si>
  <si>
    <t>11E0412:Vinhais</t>
  </si>
  <si>
    <t>16J0501:Belmonte</t>
  </si>
  <si>
    <t>16H0502:Castelo Branco</t>
  </si>
  <si>
    <t>16J0503:Covilhã</t>
  </si>
  <si>
    <t>16J0504:Fundão</t>
  </si>
  <si>
    <t>16H0505:Idanha-a-Nova</t>
  </si>
  <si>
    <t>16H0506:Oleiros</t>
  </si>
  <si>
    <t>16H0507:Penamacor</t>
  </si>
  <si>
    <t>16H0508:Proença-a-Nova</t>
  </si>
  <si>
    <t>16I0509:Sertã</t>
  </si>
  <si>
    <t>16I0510:Vila de Rei</t>
  </si>
  <si>
    <t>16H0511:Vila Velha de Ródão</t>
  </si>
  <si>
    <t>16E0601:Arganil</t>
  </si>
  <si>
    <t>16E0602:Cantanhede</t>
  </si>
  <si>
    <t>16E0603:Coimbra</t>
  </si>
  <si>
    <t>16E0604:Condeixa-a-Nova</t>
  </si>
  <si>
    <t>16E0605:Figueira da Foz</t>
  </si>
  <si>
    <t>16E0606:Góis</t>
  </si>
  <si>
    <t>16E0607:Lousã</t>
  </si>
  <si>
    <t>16E0608:Mira</t>
  </si>
  <si>
    <t>16E0609:Miranda do Corvo</t>
  </si>
  <si>
    <t>16E0610:Montemor-o-Velho</t>
  </si>
  <si>
    <t>16E0611:Oliveira do Hospital</t>
  </si>
  <si>
    <t>16E0612:Pampilhosa da Serra</t>
  </si>
  <si>
    <t>16E0613:Penacova</t>
  </si>
  <si>
    <t>16E0614:Penela</t>
  </si>
  <si>
    <t>16E0615:Soure</t>
  </si>
  <si>
    <t>16E0616:Tábua</t>
  </si>
  <si>
    <t>16E0617:Vila Nova de Poiares</t>
  </si>
  <si>
    <t>1870701:Alandroal</t>
  </si>
  <si>
    <t>1870702:Arraiolos</t>
  </si>
  <si>
    <t>1870703:Borba</t>
  </si>
  <si>
    <t>1870704:Estremoz</t>
  </si>
  <si>
    <t>1870705:Évora</t>
  </si>
  <si>
    <t>1870706:Montemor-o-Novo</t>
  </si>
  <si>
    <t>1870707:Mora</t>
  </si>
  <si>
    <t>1870708:Mourão</t>
  </si>
  <si>
    <t>1870709:Portel</t>
  </si>
  <si>
    <t>1870710:Redondo</t>
  </si>
  <si>
    <t>1870711:Reguengos de Monsaraz</t>
  </si>
  <si>
    <t>1870712:Vendas Novas</t>
  </si>
  <si>
    <t>1870713:Viana do Alentejo</t>
  </si>
  <si>
    <t>1870714:Vila Viçosa</t>
  </si>
  <si>
    <t>1500801:Albufeira</t>
  </si>
  <si>
    <t>1500802:Alcoutim</t>
  </si>
  <si>
    <t>1500803:Aljezur</t>
  </si>
  <si>
    <t>1500804:Castro Marim</t>
  </si>
  <si>
    <t>1500805:Faro</t>
  </si>
  <si>
    <t>1500806:Lagoa</t>
  </si>
  <si>
    <t>1500807:Lagos</t>
  </si>
  <si>
    <t>1500808:Loulé</t>
  </si>
  <si>
    <t>1500809:Monchique</t>
  </si>
  <si>
    <t>1500810:Olhão</t>
  </si>
  <si>
    <t>1500811:Portimão</t>
  </si>
  <si>
    <t>1500812:São Brás de Alportel</t>
  </si>
  <si>
    <t>1500813:Silves</t>
  </si>
  <si>
    <t>1500814:Tavira</t>
  </si>
  <si>
    <t>1500815:Vila do Bispo</t>
  </si>
  <si>
    <t>1500816:Vila Real de Santo António</t>
  </si>
  <si>
    <t>16G0901:Aguiar da Beira</t>
  </si>
  <si>
    <t>16J0902:Almeida</t>
  </si>
  <si>
    <t>16J0903:Celorico da Beira</t>
  </si>
  <si>
    <t>16J0904:Figueira de Castelo Rodrigo</t>
  </si>
  <si>
    <t>16J0905:Fornos de Algodres</t>
  </si>
  <si>
    <t>16J0906:Gouveia</t>
  </si>
  <si>
    <t>16J0907:Guarda</t>
  </si>
  <si>
    <t>16J0908:Manteigas</t>
  </si>
  <si>
    <t>16J0909:Mêda</t>
  </si>
  <si>
    <t>16J0910:Pinhel</t>
  </si>
  <si>
    <t>16J0911:Sabugal</t>
  </si>
  <si>
    <t>16J0912:Seia</t>
  </si>
  <si>
    <t>16J0913:Trancoso</t>
  </si>
  <si>
    <t>11D0914:Vila Nova de Foz Côa</t>
  </si>
  <si>
    <t>16B1001:Alcobaça</t>
  </si>
  <si>
    <t>16F1002:Alvaiázere</t>
  </si>
  <si>
    <t>16F1003:Ansião</t>
  </si>
  <si>
    <t>16F1004:Batalha</t>
  </si>
  <si>
    <t>16B1005:Bombarral</t>
  </si>
  <si>
    <t>16B1006:Caldas da Rainha</t>
  </si>
  <si>
    <t>16F1007:Castanheira de Pêra</t>
  </si>
  <si>
    <t>16F1008:Figueiró dos Vinhos</t>
  </si>
  <si>
    <t>16F1009:Leiria</t>
  </si>
  <si>
    <t>16F1010:Marinha Grande</t>
  </si>
  <si>
    <t>16B1011:Nazaré</t>
  </si>
  <si>
    <t>16B1012:Óbidos</t>
  </si>
  <si>
    <t>16F1013:Pedrógão Grande</t>
  </si>
  <si>
    <t>16B1014:Peniche</t>
  </si>
  <si>
    <t>16F1015:Pombal</t>
  </si>
  <si>
    <t>16F1016:Porto de Mós</t>
  </si>
  <si>
    <t>16B1101:Alenquer</t>
  </si>
  <si>
    <t>16B1102:Arruda dos Vinhos</t>
  </si>
  <si>
    <t>1851103:Azambuja</t>
  </si>
  <si>
    <t>16B1104:Cadaval</t>
  </si>
  <si>
    <t>1701105:Cascais</t>
  </si>
  <si>
    <t>1701106:Lisboa</t>
  </si>
  <si>
    <t>1701107:Loures</t>
  </si>
  <si>
    <t>16B1108:Lourinhã</t>
  </si>
  <si>
    <t>1701109:Mafra</t>
  </si>
  <si>
    <t>1701110:Oeiras</t>
  </si>
  <si>
    <t>1701111:Sintra</t>
  </si>
  <si>
    <t>16B1112:Sobral de Monte Agraço</t>
  </si>
  <si>
    <t>16B1113:Torres Vedras</t>
  </si>
  <si>
    <t>1701114:Vila Franca de Xira</t>
  </si>
  <si>
    <t>1701115:Amadora</t>
  </si>
  <si>
    <t>1701116:Odivelas</t>
  </si>
  <si>
    <t>1861201:Alter do Chão</t>
  </si>
  <si>
    <t>1861202:Arronches</t>
  </si>
  <si>
    <t>1861203:Avis</t>
  </si>
  <si>
    <t>1861204:Campo Maior</t>
  </si>
  <si>
    <t>1861205:Castelo de Vide</t>
  </si>
  <si>
    <t>1861206:Crato</t>
  </si>
  <si>
    <t>1861207:Elvas</t>
  </si>
  <si>
    <t>1861208:Fronteira</t>
  </si>
  <si>
    <t>1861209:Gavião</t>
  </si>
  <si>
    <t>1861210:Marvão</t>
  </si>
  <si>
    <t>1861211:Monforte</t>
  </si>
  <si>
    <t>1861212:Nisa</t>
  </si>
  <si>
    <t>1861213:Ponte de Sor</t>
  </si>
  <si>
    <t>1861214:Portalegre</t>
  </si>
  <si>
    <t>1861215:Sousel</t>
  </si>
  <si>
    <t>11C1301:Amarante</t>
  </si>
  <si>
    <t>11C1302:Baião</t>
  </si>
  <si>
    <t>11C1303:Felgueiras</t>
  </si>
  <si>
    <t>11A1304:Gondomar</t>
  </si>
  <si>
    <t>11C1305:Lousada</t>
  </si>
  <si>
    <t>11A1306:Maia</t>
  </si>
  <si>
    <t>11C1307:Marco de Canaveses</t>
  </si>
  <si>
    <t>11A1308:Matosinhos</t>
  </si>
  <si>
    <t>11C1309:Paços de Ferreira</t>
  </si>
  <si>
    <t>11A1310:Paredes</t>
  </si>
  <si>
    <t>11C1311:Penafiel</t>
  </si>
  <si>
    <t>11A1312:Porto</t>
  </si>
  <si>
    <t>11A1313:Póvoa de Varzim</t>
  </si>
  <si>
    <t>11A1314:Santo Tirso</t>
  </si>
  <si>
    <t>11A1315:Valongo</t>
  </si>
  <si>
    <t>11A1316:Vila do Conde</t>
  </si>
  <si>
    <t>11A1317:Vila Nova de Gaia</t>
  </si>
  <si>
    <t>11A1318:Trofa</t>
  </si>
  <si>
    <t>16I1401:Abrantes</t>
  </si>
  <si>
    <t>16I1402:Alcanena</t>
  </si>
  <si>
    <t>1851403:Almeirim</t>
  </si>
  <si>
    <t>1851404:Alpiarça</t>
  </si>
  <si>
    <t>1851405:Benavente</t>
  </si>
  <si>
    <t>1851406:Cartaxo</t>
  </si>
  <si>
    <t>1851407:Chamusca</t>
  </si>
  <si>
    <t>16I1408:Constância</t>
  </si>
  <si>
    <t>1851409:Coruche</t>
  </si>
  <si>
    <t>16I1410:Entroncamento</t>
  </si>
  <si>
    <t>16I1411:Ferreira do Zêzere</t>
  </si>
  <si>
    <t>1851412:Golegã</t>
  </si>
  <si>
    <t>16I1413:Mação</t>
  </si>
  <si>
    <t>1851414:Rio Maior</t>
  </si>
  <si>
    <t>1851415:Salvaterra de Magos</t>
  </si>
  <si>
    <t>1851416:Santarém</t>
  </si>
  <si>
    <t>16I1417:Sardoal</t>
  </si>
  <si>
    <t>16I1418:Tomar</t>
  </si>
  <si>
    <t>16I1419:Torres Novas</t>
  </si>
  <si>
    <t>16I1420:Vila Nova da Barquinha</t>
  </si>
  <si>
    <t>16I1421:Ourém</t>
  </si>
  <si>
    <t>1811501:Alcácer do Sal</t>
  </si>
  <si>
    <t>1701502:Alcochete</t>
  </si>
  <si>
    <t>1701503:Almada</t>
  </si>
  <si>
    <t>1701504:Barreiro</t>
  </si>
  <si>
    <t>1811505:Grândola</t>
  </si>
  <si>
    <t>1701506:Moita</t>
  </si>
  <si>
    <t>1701507:Montijo</t>
  </si>
  <si>
    <t>1701508:Palmela</t>
  </si>
  <si>
    <t>1811509:Santiago do Cacém</t>
  </si>
  <si>
    <t>1701510:Seixal</t>
  </si>
  <si>
    <t>1701511:Sesimbra</t>
  </si>
  <si>
    <t>1701512:Setúbal</t>
  </si>
  <si>
    <t>1811513:Sines</t>
  </si>
  <si>
    <t>1111601:Arcos de Valdevez</t>
  </si>
  <si>
    <t>1111602:Caminha</t>
  </si>
  <si>
    <t>1111603:Melgaço</t>
  </si>
  <si>
    <t>1111604:Monção</t>
  </si>
  <si>
    <t>1111605:Paredes de Coura</t>
  </si>
  <si>
    <t>1111606:Ponte da Barca</t>
  </si>
  <si>
    <t>1111607:Ponte de Lima</t>
  </si>
  <si>
    <t>1111608:Valença</t>
  </si>
  <si>
    <t>1111609:Viana do Castelo</t>
  </si>
  <si>
    <t>1111610:Vila Nova de Cerveira</t>
  </si>
  <si>
    <t>11D1701:Alijó</t>
  </si>
  <si>
    <t>11B1702:Boticas</t>
  </si>
  <si>
    <t>11B1703:Chaves</t>
  </si>
  <si>
    <t>11D1704:Mesão Frio</t>
  </si>
  <si>
    <t>1191705:Mondim de Basto</t>
  </si>
  <si>
    <t>11B1706:Montalegre</t>
  </si>
  <si>
    <t>11D1707:Murça</t>
  </si>
  <si>
    <t>11D1708:Peso da Régua</t>
  </si>
  <si>
    <t>11B1709:Ribeira de Pena</t>
  </si>
  <si>
    <t>11D1710:Sabrosa</t>
  </si>
  <si>
    <t>11D1711:Santa Marta de Penaguião</t>
  </si>
  <si>
    <t>11B1712:Valpaços</t>
  </si>
  <si>
    <t>11B1713:Vila Pouca de Aguiar</t>
  </si>
  <si>
    <t>11D1714:Vila Real</t>
  </si>
  <si>
    <t>11D1801:Armamar</t>
  </si>
  <si>
    <t>16G1802:Carregal do Sal</t>
  </si>
  <si>
    <t>16G1803:Castro Daire</t>
  </si>
  <si>
    <t>11C1804:Cinfães</t>
  </si>
  <si>
    <t>11D1805:Lamego</t>
  </si>
  <si>
    <t>16G1806:Mangualde</t>
  </si>
  <si>
    <t>11D1807:Moimenta da Beira</t>
  </si>
  <si>
    <t>16E1808:Mortágua</t>
  </si>
  <si>
    <t>16G1809:Nelas</t>
  </si>
  <si>
    <t>16G1810:Oliveira de Frades</t>
  </si>
  <si>
    <t>16G1811:Penalva do Castelo</t>
  </si>
  <si>
    <t>11D1812:Penedono</t>
  </si>
  <si>
    <t>11C1813:Resende</t>
  </si>
  <si>
    <t>16G1814:Santa Comba Dão</t>
  </si>
  <si>
    <t>11D1815:São João da Pesqueira</t>
  </si>
  <si>
    <t>16G1816:São Pedro do Sul</t>
  </si>
  <si>
    <t>16G1817:Sátão</t>
  </si>
  <si>
    <t>11D1818:Sernancelhe</t>
  </si>
  <si>
    <t>11D1819:Tabuaço</t>
  </si>
  <si>
    <t>11D1820:Tarouca</t>
  </si>
  <si>
    <t>16G1821:Tondela</t>
  </si>
  <si>
    <t>16G1822:Vila Nova de Paiva</t>
  </si>
  <si>
    <t>16G1823:Viseu</t>
  </si>
  <si>
    <t>16G1824:Vouzela</t>
  </si>
  <si>
    <t>Proportion of employees with higher education (%)</t>
  </si>
  <si>
    <t>Geographic localization (NUTS - 2013)</t>
  </si>
  <si>
    <t>S7A2019:2019</t>
  </si>
  <si>
    <t>S7A2022:2022</t>
  </si>
  <si>
    <t>dico</t>
  </si>
  <si>
    <t>Untructural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</si>
</sst>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4"/>
      <name val="Arial"/>
    </font>
    <font>
      <sz val="12"/>
      <color rgb="FF000000"/>
      <name val="Aptos Narrow"/>
      <family val="2"/>
      <charset val="1"/>
    </font>
    <font>
      <b/>
      <sz val="14"/>
      <color rgb="FFFFFFFF"/>
      <name val="Aptos Narrow"/>
      <family val="2"/>
      <charset val="1"/>
    </font>
    <font>
      <b/>
      <sz val="22"/>
      <color rgb="FF000000"/>
      <name val="Aptos Narrow"/>
      <family val="2"/>
      <charset val="1"/>
    </font>
    <font>
      <sz val="2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8"/>
      <color rgb="FF000000"/>
      <name val="Aptos Narrow"/>
      <family val="2"/>
      <charset val="1"/>
    </font>
    <font>
      <b/>
      <sz val="24"/>
      <color rgb="FF000000"/>
      <name val="Aptos Narrow"/>
      <family val="2"/>
      <charset val="1"/>
    </font>
    <font>
      <sz val="12"/>
      <color rgb="FF242424"/>
      <name val="Aptos Narrow"/>
      <family val="2"/>
      <charset val="1"/>
    </font>
    <font>
      <sz val="15"/>
      <color rgb="FF242424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11" fontId="1" fillId="0" borderId="1" xfId="0" applyNumberFormat="1" applyFont="1" applyBorder="1"/>
    <xf numFmtId="11" fontId="1" fillId="3" borderId="1" xfId="0" applyNumberFormat="1" applyFont="1" applyFill="1" applyBorder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wrapText="1"/>
    </xf>
    <xf numFmtId="164" fontId="2" fillId="2" borderId="3" xfId="0" applyNumberFormat="1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/>
    <xf numFmtId="0" fontId="4" fillId="0" borderId="0" xfId="0" applyFont="1"/>
    <xf numFmtId="0" fontId="5" fillId="4" borderId="5" xfId="0" applyFont="1" applyFill="1" applyBorder="1"/>
    <xf numFmtId="0" fontId="6" fillId="5" borderId="4" xfId="0" applyFont="1" applyFill="1" applyBorder="1"/>
    <xf numFmtId="0" fontId="4" fillId="5" borderId="4" xfId="0" applyFont="1" applyFill="1" applyBorder="1"/>
    <xf numFmtId="0" fontId="4" fillId="5" borderId="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4" borderId="5" xfId="0" applyFont="1" applyFill="1" applyBorder="1" applyAlignment="1">
      <alignment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EA0F-09DA-43BF-BA87-EEC8D6486B07}">
  <dimension ref="A1:N279"/>
  <sheetViews>
    <sheetView topLeftCell="A62" workbookViewId="0">
      <selection activeCell="J13" sqref="J13"/>
    </sheetView>
  </sheetViews>
  <sheetFormatPr baseColWidth="10" defaultColWidth="8.83203125" defaultRowHeight="13" x14ac:dyDescent="0.15"/>
  <cols>
    <col min="1" max="1" width="9.1640625" style="1"/>
    <col min="2" max="2" width="24" bestFit="1" customWidth="1"/>
    <col min="12" max="13" width="11.83203125" bestFit="1" customWidth="1"/>
    <col min="14" max="14" width="12.5" bestFit="1" customWidth="1"/>
  </cols>
  <sheetData>
    <row r="1" spans="1:14" ht="16" x14ac:dyDescent="0.2">
      <c r="A1" s="1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" x14ac:dyDescent="0.2">
      <c r="A2" s="17">
        <v>1401</v>
      </c>
      <c r="B2" t="s">
        <v>14</v>
      </c>
      <c r="C2">
        <v>1.17</v>
      </c>
      <c r="D2">
        <v>3.1</v>
      </c>
      <c r="E2">
        <v>7.69</v>
      </c>
      <c r="F2">
        <v>14.97</v>
      </c>
      <c r="G2">
        <v>13.18</v>
      </c>
      <c r="H2">
        <v>21.93</v>
      </c>
      <c r="I2">
        <v>-2.8</v>
      </c>
      <c r="J2">
        <v>30.75</v>
      </c>
      <c r="K2">
        <v>88.48</v>
      </c>
      <c r="L2" s="50">
        <v>89.634788720000003</v>
      </c>
      <c r="M2" s="50">
        <v>13.41244294</v>
      </c>
      <c r="N2" s="50">
        <v>-76.222345779999998</v>
      </c>
    </row>
    <row r="3" spans="1:14" ht="16" x14ac:dyDescent="0.2">
      <c r="A3" s="17">
        <v>101</v>
      </c>
      <c r="B3" t="s">
        <v>15</v>
      </c>
      <c r="C3">
        <v>2.5499999999999998</v>
      </c>
      <c r="D3">
        <v>-1.2</v>
      </c>
      <c r="E3">
        <v>4.57</v>
      </c>
      <c r="F3">
        <v>15.42</v>
      </c>
      <c r="G3">
        <v>11.81</v>
      </c>
      <c r="H3">
        <v>18.579999999999998</v>
      </c>
      <c r="I3">
        <v>-1.58</v>
      </c>
      <c r="J3">
        <v>13.99</v>
      </c>
      <c r="K3">
        <v>87.86</v>
      </c>
      <c r="L3" s="50">
        <v>122.7685293</v>
      </c>
      <c r="M3" s="50">
        <v>8.1735277669999995</v>
      </c>
      <c r="N3" s="50">
        <v>-114.5950015</v>
      </c>
    </row>
    <row r="4" spans="1:14" ht="16" x14ac:dyDescent="0.2">
      <c r="A4" s="17">
        <v>901</v>
      </c>
      <c r="B4" t="s">
        <v>16</v>
      </c>
      <c r="C4">
        <v>0.21</v>
      </c>
      <c r="D4">
        <v>7.7</v>
      </c>
      <c r="E4">
        <v>6.22</v>
      </c>
      <c r="F4">
        <v>8.7100000000000009</v>
      </c>
      <c r="G4">
        <v>8.49</v>
      </c>
      <c r="H4">
        <v>15.18</v>
      </c>
      <c r="I4">
        <v>-0.84</v>
      </c>
      <c r="J4">
        <v>21.18</v>
      </c>
      <c r="K4">
        <v>70.540000000000006</v>
      </c>
      <c r="L4" s="50">
        <v>142.07753109999999</v>
      </c>
      <c r="M4" s="50">
        <v>93.050432819999997</v>
      </c>
      <c r="N4" s="50">
        <v>-49.02709823</v>
      </c>
    </row>
    <row r="5" spans="1:14" ht="16" x14ac:dyDescent="0.2">
      <c r="A5" s="17">
        <v>701</v>
      </c>
      <c r="B5" t="s">
        <v>17</v>
      </c>
      <c r="C5">
        <v>1.4</v>
      </c>
      <c r="D5">
        <v>0.4</v>
      </c>
      <c r="E5">
        <v>6.71</v>
      </c>
      <c r="F5">
        <v>7.89</v>
      </c>
      <c r="G5">
        <v>10.44</v>
      </c>
      <c r="H5">
        <v>22.21</v>
      </c>
      <c r="I5">
        <v>-8.5</v>
      </c>
      <c r="J5">
        <v>9.7100000000000009</v>
      </c>
      <c r="K5">
        <v>69.78</v>
      </c>
      <c r="L5" s="50">
        <v>130.98787519999999</v>
      </c>
      <c r="M5" s="50">
        <v>108.3442656</v>
      </c>
      <c r="N5" s="50">
        <v>-22.643609619999999</v>
      </c>
    </row>
    <row r="6" spans="1:14" ht="16" x14ac:dyDescent="0.2">
      <c r="A6" s="17">
        <v>102</v>
      </c>
      <c r="B6" t="s">
        <v>18</v>
      </c>
      <c r="C6">
        <v>1.32</v>
      </c>
      <c r="D6">
        <v>-0.3</v>
      </c>
      <c r="E6">
        <v>4.92</v>
      </c>
      <c r="F6">
        <v>14.76</v>
      </c>
      <c r="G6">
        <v>11.21</v>
      </c>
      <c r="H6">
        <v>20.51</v>
      </c>
      <c r="I6">
        <v>-1.5</v>
      </c>
      <c r="J6">
        <v>20.25</v>
      </c>
      <c r="K6">
        <v>85.42</v>
      </c>
      <c r="L6" s="50">
        <v>114.0827745</v>
      </c>
      <c r="M6" s="50">
        <v>13.370501170000001</v>
      </c>
      <c r="N6" s="50">
        <v>-100.71227330000001</v>
      </c>
    </row>
    <row r="7" spans="1:14" ht="16" x14ac:dyDescent="0.2">
      <c r="A7" s="17">
        <v>801</v>
      </c>
      <c r="B7" t="s">
        <v>19</v>
      </c>
      <c r="C7">
        <v>2.67</v>
      </c>
      <c r="D7">
        <v>-1.8</v>
      </c>
      <c r="E7">
        <v>19.649999999999999</v>
      </c>
      <c r="F7">
        <v>16.68</v>
      </c>
      <c r="G7">
        <v>17.05</v>
      </c>
      <c r="H7">
        <v>29.82</v>
      </c>
      <c r="I7">
        <v>-3.36</v>
      </c>
      <c r="J7">
        <v>30.3</v>
      </c>
      <c r="K7">
        <v>107.03</v>
      </c>
      <c r="L7" s="50">
        <v>190.61891869999999</v>
      </c>
      <c r="M7" s="50">
        <v>5.6268593290000002</v>
      </c>
      <c r="N7" s="50">
        <v>-184.99205939999999</v>
      </c>
    </row>
    <row r="8" spans="1:14" ht="16" x14ac:dyDescent="0.2">
      <c r="A8" s="17">
        <v>1501</v>
      </c>
      <c r="B8" t="s">
        <v>20</v>
      </c>
      <c r="C8">
        <v>1.53</v>
      </c>
      <c r="D8">
        <v>16</v>
      </c>
      <c r="E8">
        <v>5.19</v>
      </c>
      <c r="F8">
        <v>10.72</v>
      </c>
      <c r="G8">
        <v>13.16</v>
      </c>
      <c r="H8">
        <v>15.23</v>
      </c>
      <c r="I8">
        <v>-8.36</v>
      </c>
      <c r="J8">
        <v>13.56</v>
      </c>
      <c r="K8">
        <v>87.7</v>
      </c>
      <c r="L8" s="50">
        <v>160.32388660000001</v>
      </c>
      <c r="M8" s="50">
        <v>43.204678360000003</v>
      </c>
      <c r="N8" s="50">
        <v>-117.1192083</v>
      </c>
    </row>
    <row r="9" spans="1:14" ht="16" x14ac:dyDescent="0.2">
      <c r="A9" s="17">
        <v>1402</v>
      </c>
      <c r="B9" t="s">
        <v>21</v>
      </c>
      <c r="C9">
        <v>1.54</v>
      </c>
      <c r="D9">
        <v>4.2</v>
      </c>
      <c r="E9">
        <v>4.34</v>
      </c>
      <c r="F9">
        <v>12.93</v>
      </c>
      <c r="G9">
        <v>11.11</v>
      </c>
      <c r="H9">
        <v>19.88</v>
      </c>
      <c r="I9">
        <v>-3.54</v>
      </c>
      <c r="J9">
        <v>8.67</v>
      </c>
      <c r="K9">
        <v>85.27</v>
      </c>
      <c r="L9" s="50">
        <v>121.6420885</v>
      </c>
      <c r="M9" s="50">
        <v>35.428457549999997</v>
      </c>
      <c r="N9" s="50">
        <v>-86.213630929999994</v>
      </c>
    </row>
    <row r="10" spans="1:14" ht="16" x14ac:dyDescent="0.2">
      <c r="A10" s="17">
        <v>1001</v>
      </c>
      <c r="B10" t="s">
        <v>22</v>
      </c>
      <c r="C10">
        <v>1.94</v>
      </c>
      <c r="D10">
        <v>2.6</v>
      </c>
      <c r="E10">
        <v>5.14</v>
      </c>
      <c r="F10">
        <v>15.29</v>
      </c>
      <c r="G10">
        <v>12.12</v>
      </c>
      <c r="H10">
        <v>17.68</v>
      </c>
      <c r="I10">
        <v>-1.84</v>
      </c>
      <c r="J10">
        <v>13.66</v>
      </c>
      <c r="K10">
        <v>86.34</v>
      </c>
      <c r="L10" s="50">
        <v>125.36108369999999</v>
      </c>
      <c r="M10" s="50">
        <v>7.2473311200000001</v>
      </c>
      <c r="N10" s="50">
        <v>-118.1137526</v>
      </c>
    </row>
    <row r="11" spans="1:14" ht="16" x14ac:dyDescent="0.2">
      <c r="A11" s="17">
        <v>1502</v>
      </c>
      <c r="B11" t="s">
        <v>23</v>
      </c>
      <c r="C11">
        <v>0.94</v>
      </c>
      <c r="D11">
        <v>-8.6999999999999993</v>
      </c>
      <c r="E11">
        <v>7.52</v>
      </c>
      <c r="F11">
        <v>28.38</v>
      </c>
      <c r="G11">
        <v>14.31</v>
      </c>
      <c r="H11">
        <v>18.21</v>
      </c>
      <c r="I11">
        <v>-7.59</v>
      </c>
      <c r="J11">
        <v>18.61</v>
      </c>
      <c r="K11">
        <v>118.86</v>
      </c>
      <c r="L11" s="50">
        <v>101.8594617</v>
      </c>
      <c r="M11" s="50">
        <v>13.329052799999999</v>
      </c>
      <c r="N11" s="50">
        <v>-88.530408879999996</v>
      </c>
    </row>
    <row r="12" spans="1:14" ht="16" x14ac:dyDescent="0.2">
      <c r="A12" s="17">
        <v>802</v>
      </c>
      <c r="B12" t="s">
        <v>24</v>
      </c>
      <c r="C12">
        <v>0.45</v>
      </c>
      <c r="D12">
        <v>-3.3</v>
      </c>
      <c r="E12">
        <v>2.97</v>
      </c>
      <c r="F12">
        <v>8.9</v>
      </c>
      <c r="G12">
        <v>7.13</v>
      </c>
      <c r="H12">
        <v>13.3</v>
      </c>
      <c r="I12">
        <v>-1.57</v>
      </c>
      <c r="J12">
        <v>13.26</v>
      </c>
      <c r="K12">
        <v>70.989999999999995</v>
      </c>
      <c r="L12" s="50">
        <v>145.30254780000001</v>
      </c>
      <c r="M12" s="50">
        <v>266.6361465</v>
      </c>
      <c r="N12" s="50">
        <v>121.3335987</v>
      </c>
    </row>
    <row r="13" spans="1:14" ht="16" x14ac:dyDescent="0.2">
      <c r="A13" s="17">
        <v>1101</v>
      </c>
      <c r="B13" t="s">
        <v>25</v>
      </c>
      <c r="C13">
        <v>2.27</v>
      </c>
      <c r="D13">
        <v>2.4</v>
      </c>
      <c r="E13">
        <v>7.15</v>
      </c>
      <c r="F13">
        <v>15.34</v>
      </c>
      <c r="G13">
        <v>13.55</v>
      </c>
      <c r="H13">
        <v>21.17</v>
      </c>
      <c r="I13">
        <v>-4.66</v>
      </c>
      <c r="J13">
        <v>15.94</v>
      </c>
      <c r="K13">
        <v>88.75</v>
      </c>
      <c r="L13" s="50">
        <v>97.415896810000007</v>
      </c>
      <c r="M13" s="50">
        <v>6.933937598</v>
      </c>
      <c r="N13" s="50">
        <v>-90.481959209999999</v>
      </c>
    </row>
    <row r="14" spans="1:14" ht="16" x14ac:dyDescent="0.2">
      <c r="A14" s="17">
        <v>401</v>
      </c>
      <c r="B14" t="s">
        <v>26</v>
      </c>
      <c r="C14">
        <v>0.14000000000000001</v>
      </c>
      <c r="D14">
        <v>-3.5</v>
      </c>
      <c r="E14">
        <v>9.69</v>
      </c>
      <c r="F14">
        <v>11.85</v>
      </c>
      <c r="G14">
        <v>3.51</v>
      </c>
      <c r="H14">
        <v>16.91</v>
      </c>
      <c r="I14">
        <v>-0.36</v>
      </c>
      <c r="J14">
        <v>32.369999999999997</v>
      </c>
      <c r="K14">
        <v>68.27</v>
      </c>
      <c r="L14" s="50">
        <v>262.46780610000002</v>
      </c>
      <c r="M14" s="50">
        <v>104.5469445</v>
      </c>
      <c r="N14" s="50">
        <v>-157.92086159999999</v>
      </c>
    </row>
    <row r="15" spans="1:14" ht="16" x14ac:dyDescent="0.2">
      <c r="A15" s="17">
        <v>1701</v>
      </c>
      <c r="B15" t="s">
        <v>27</v>
      </c>
      <c r="C15">
        <v>0.15</v>
      </c>
      <c r="D15">
        <v>0.4</v>
      </c>
      <c r="E15">
        <v>8.15</v>
      </c>
      <c r="F15">
        <v>9.6300000000000008</v>
      </c>
      <c r="G15">
        <v>11.47</v>
      </c>
      <c r="H15">
        <v>16.95</v>
      </c>
      <c r="I15">
        <v>-1.36</v>
      </c>
      <c r="J15">
        <v>38.119999999999997</v>
      </c>
      <c r="K15">
        <v>65.27</v>
      </c>
      <c r="L15" s="50">
        <v>217.8910066</v>
      </c>
      <c r="M15" s="50">
        <v>42.015132649999998</v>
      </c>
      <c r="N15" s="50">
        <v>-175.87587400000001</v>
      </c>
    </row>
    <row r="16" spans="1:14" ht="16" x14ac:dyDescent="0.2">
      <c r="A16" s="17">
        <v>803</v>
      </c>
      <c r="B16" t="s">
        <v>28</v>
      </c>
      <c r="C16">
        <v>2.44</v>
      </c>
      <c r="D16">
        <v>-9.8000000000000007</v>
      </c>
      <c r="E16">
        <v>8.15</v>
      </c>
      <c r="F16">
        <v>16.79</v>
      </c>
      <c r="G16">
        <v>13.46</v>
      </c>
      <c r="H16">
        <v>18.96</v>
      </c>
      <c r="I16">
        <v>-4.29</v>
      </c>
      <c r="J16">
        <v>15.74</v>
      </c>
      <c r="K16">
        <v>71.569999999999993</v>
      </c>
      <c r="L16" s="50">
        <v>198.5067359</v>
      </c>
      <c r="M16" s="50">
        <v>53.341989939999998</v>
      </c>
      <c r="N16" s="50">
        <v>-145.16474600000001</v>
      </c>
    </row>
    <row r="17" spans="1:14" ht="16" x14ac:dyDescent="0.2">
      <c r="A17" s="17">
        <v>201</v>
      </c>
      <c r="B17" t="s">
        <v>29</v>
      </c>
      <c r="C17">
        <v>0.94</v>
      </c>
      <c r="D17">
        <v>11.8</v>
      </c>
      <c r="E17">
        <v>6.44</v>
      </c>
      <c r="F17">
        <v>12.03</v>
      </c>
      <c r="G17">
        <v>13.21</v>
      </c>
      <c r="H17">
        <v>19.55</v>
      </c>
      <c r="I17">
        <v>-11.41</v>
      </c>
      <c r="J17">
        <v>47.57</v>
      </c>
      <c r="K17">
        <v>84.21</v>
      </c>
      <c r="L17" s="50">
        <v>98.338572069999998</v>
      </c>
      <c r="M17" s="50">
        <v>58.339694659999999</v>
      </c>
      <c r="N17" s="50">
        <v>-39.998877409999999</v>
      </c>
    </row>
    <row r="18" spans="1:14" ht="16" x14ac:dyDescent="0.2">
      <c r="A18" s="17">
        <v>1503</v>
      </c>
      <c r="B18" t="s">
        <v>30</v>
      </c>
      <c r="C18">
        <v>2.77</v>
      </c>
      <c r="D18">
        <v>2.2000000000000002</v>
      </c>
      <c r="E18">
        <v>10.06</v>
      </c>
      <c r="F18">
        <v>26.09</v>
      </c>
      <c r="G18">
        <v>11.79</v>
      </c>
      <c r="H18">
        <v>15.3</v>
      </c>
      <c r="I18">
        <v>-7.12</v>
      </c>
      <c r="J18">
        <v>45.45</v>
      </c>
      <c r="K18">
        <v>104.49</v>
      </c>
      <c r="L18" s="50">
        <v>114.64227320000001</v>
      </c>
      <c r="M18" s="50">
        <v>1.9209309379999999</v>
      </c>
      <c r="N18" s="50">
        <v>-112.7213422</v>
      </c>
    </row>
    <row r="19" spans="1:14" ht="16" x14ac:dyDescent="0.2">
      <c r="A19" s="17">
        <v>902</v>
      </c>
      <c r="B19" t="s">
        <v>31</v>
      </c>
      <c r="C19">
        <v>1.01</v>
      </c>
      <c r="D19">
        <v>13.6</v>
      </c>
      <c r="E19">
        <v>6.58</v>
      </c>
      <c r="F19">
        <v>10.93</v>
      </c>
      <c r="G19">
        <v>8.3800000000000008</v>
      </c>
      <c r="H19">
        <v>17.8</v>
      </c>
      <c r="I19">
        <v>-1.45</v>
      </c>
      <c r="J19">
        <v>26.34</v>
      </c>
      <c r="K19">
        <v>72.86</v>
      </c>
      <c r="L19" s="50">
        <v>118.60304290000001</v>
      </c>
      <c r="M19" s="50">
        <v>76.343361000000002</v>
      </c>
      <c r="N19" s="50">
        <v>-42.259681880000002</v>
      </c>
    </row>
    <row r="20" spans="1:14" ht="16" x14ac:dyDescent="0.2">
      <c r="A20" s="17">
        <v>1403</v>
      </c>
      <c r="B20" t="s">
        <v>32</v>
      </c>
      <c r="C20">
        <v>1.43</v>
      </c>
      <c r="D20">
        <v>9.9</v>
      </c>
      <c r="E20">
        <v>7.34</v>
      </c>
      <c r="F20">
        <v>15.7</v>
      </c>
      <c r="G20">
        <v>12.73</v>
      </c>
      <c r="H20">
        <v>22.92</v>
      </c>
      <c r="I20">
        <v>-3.77</v>
      </c>
      <c r="J20">
        <v>19.54</v>
      </c>
      <c r="K20">
        <v>88.28</v>
      </c>
      <c r="L20" s="50">
        <v>124.6528711</v>
      </c>
      <c r="M20" s="50">
        <v>18.06010929</v>
      </c>
      <c r="N20" s="50">
        <v>-106.59276180000001</v>
      </c>
    </row>
    <row r="21" spans="1:14" ht="16" x14ac:dyDescent="0.2">
      <c r="A21" s="17">
        <v>202</v>
      </c>
      <c r="B21" t="s">
        <v>33</v>
      </c>
      <c r="C21">
        <v>1.1000000000000001</v>
      </c>
      <c r="D21">
        <v>2.2999999999999998</v>
      </c>
      <c r="E21">
        <v>6.07</v>
      </c>
      <c r="F21">
        <v>9.5299999999999994</v>
      </c>
      <c r="G21">
        <v>12.38</v>
      </c>
      <c r="H21">
        <v>22.09</v>
      </c>
      <c r="I21">
        <v>-3.64</v>
      </c>
      <c r="J21">
        <v>16.899999999999999</v>
      </c>
      <c r="K21">
        <v>80.38</v>
      </c>
      <c r="L21" s="50">
        <v>129.17528820000001</v>
      </c>
      <c r="M21" s="50">
        <v>67.657404670000005</v>
      </c>
      <c r="N21" s="50">
        <v>-61.51788354</v>
      </c>
    </row>
    <row r="22" spans="1:14" ht="16" x14ac:dyDescent="0.2">
      <c r="A22" s="17">
        <v>1404</v>
      </c>
      <c r="B22" t="s">
        <v>34</v>
      </c>
      <c r="C22">
        <v>0.32</v>
      </c>
      <c r="D22">
        <v>15.4</v>
      </c>
      <c r="E22">
        <v>8.2899999999999991</v>
      </c>
      <c r="F22">
        <v>14.45</v>
      </c>
      <c r="G22">
        <v>8.9499999999999993</v>
      </c>
      <c r="H22">
        <v>18.82</v>
      </c>
      <c r="I22">
        <v>-9.44</v>
      </c>
      <c r="J22">
        <v>13.2</v>
      </c>
      <c r="K22">
        <v>81.27</v>
      </c>
      <c r="L22" s="50">
        <v>107.7270164</v>
      </c>
      <c r="M22" s="50">
        <v>66.596164689999995</v>
      </c>
      <c r="N22" s="50">
        <v>-41.130851659999998</v>
      </c>
    </row>
    <row r="23" spans="1:14" ht="16" x14ac:dyDescent="0.2">
      <c r="A23" s="17">
        <v>1201</v>
      </c>
      <c r="B23" t="s">
        <v>35</v>
      </c>
      <c r="C23">
        <v>0.97</v>
      </c>
      <c r="D23">
        <v>5.8</v>
      </c>
      <c r="E23">
        <v>7.26</v>
      </c>
      <c r="F23">
        <v>11.01</v>
      </c>
      <c r="G23">
        <v>10.37</v>
      </c>
      <c r="H23">
        <v>22.65</v>
      </c>
      <c r="I23">
        <v>-5.6</v>
      </c>
      <c r="J23">
        <v>48.99</v>
      </c>
      <c r="K23">
        <v>73.569999999999993</v>
      </c>
      <c r="L23" s="50">
        <v>119.4506547</v>
      </c>
      <c r="M23" s="50">
        <v>160.6132226</v>
      </c>
      <c r="N23" s="50">
        <v>41.162567869999997</v>
      </c>
    </row>
    <row r="24" spans="1:14" ht="16" x14ac:dyDescent="0.2">
      <c r="A24" s="17">
        <v>1002</v>
      </c>
      <c r="B24" t="s">
        <v>36</v>
      </c>
      <c r="C24">
        <v>0.57999999999999996</v>
      </c>
      <c r="D24">
        <v>-1.1000000000000001</v>
      </c>
      <c r="E24">
        <v>5.31</v>
      </c>
      <c r="F24">
        <v>10.38</v>
      </c>
      <c r="G24">
        <v>8.2100000000000009</v>
      </c>
      <c r="H24">
        <v>19.28</v>
      </c>
      <c r="I24">
        <v>-0.33</v>
      </c>
      <c r="J24">
        <v>23.18</v>
      </c>
      <c r="K24">
        <v>72.72</v>
      </c>
      <c r="L24" s="50">
        <v>128.526149</v>
      </c>
      <c r="M24" s="50">
        <v>77.310618070000004</v>
      </c>
      <c r="N24" s="50">
        <v>-51.215530899999997</v>
      </c>
    </row>
    <row r="25" spans="1:14" ht="16" x14ac:dyDescent="0.2">
      <c r="A25" s="17">
        <v>203</v>
      </c>
      <c r="B25" t="s">
        <v>37</v>
      </c>
      <c r="C25">
        <v>1.1000000000000001</v>
      </c>
      <c r="D25">
        <v>2.5</v>
      </c>
      <c r="E25">
        <v>7.23</v>
      </c>
      <c r="F25">
        <v>12.33</v>
      </c>
      <c r="G25">
        <v>14.78</v>
      </c>
      <c r="H25">
        <v>20.059999999999999</v>
      </c>
      <c r="I25">
        <v>-8.52</v>
      </c>
      <c r="J25">
        <v>27.39</v>
      </c>
      <c r="K25">
        <v>72.37</v>
      </c>
      <c r="L25" s="50">
        <v>122.2802437</v>
      </c>
      <c r="M25" s="50">
        <v>180.40469970000001</v>
      </c>
      <c r="N25" s="50">
        <v>58.124456049999999</v>
      </c>
    </row>
    <row r="26" spans="1:14" ht="16" x14ac:dyDescent="0.2">
      <c r="A26" s="17">
        <v>1115</v>
      </c>
      <c r="B26" t="s">
        <v>38</v>
      </c>
      <c r="C26">
        <v>4.12</v>
      </c>
      <c r="D26">
        <v>-4.5</v>
      </c>
      <c r="E26">
        <v>9.94</v>
      </c>
      <c r="F26">
        <v>23.49</v>
      </c>
      <c r="G26">
        <v>9.65</v>
      </c>
      <c r="H26">
        <v>14.87</v>
      </c>
      <c r="I26">
        <v>-4.66</v>
      </c>
      <c r="J26">
        <v>33.15</v>
      </c>
      <c r="K26">
        <v>102.25</v>
      </c>
      <c r="L26" s="50">
        <v>106.6437201</v>
      </c>
      <c r="M26" s="50">
        <v>1.771177435</v>
      </c>
      <c r="N26" s="50">
        <v>-104.8725427</v>
      </c>
    </row>
    <row r="27" spans="1:14" ht="16" x14ac:dyDescent="0.2">
      <c r="A27" s="17">
        <v>1301</v>
      </c>
      <c r="B27" t="s">
        <v>39</v>
      </c>
      <c r="C27">
        <v>0.55000000000000004</v>
      </c>
      <c r="D27">
        <v>-1.7</v>
      </c>
      <c r="E27">
        <v>9.42</v>
      </c>
      <c r="F27">
        <v>14.09</v>
      </c>
      <c r="G27">
        <v>11.41</v>
      </c>
      <c r="H27">
        <v>12.95</v>
      </c>
      <c r="I27">
        <v>-1.0900000000000001</v>
      </c>
      <c r="J27">
        <v>38.42</v>
      </c>
      <c r="K27">
        <v>75.34</v>
      </c>
      <c r="L27" s="50">
        <v>112.52184939999999</v>
      </c>
      <c r="M27" s="50">
        <v>5.640882811</v>
      </c>
      <c r="N27" s="50">
        <v>-106.88096659999999</v>
      </c>
    </row>
    <row r="28" spans="1:14" ht="16" x14ac:dyDescent="0.2">
      <c r="A28" s="17">
        <v>301</v>
      </c>
      <c r="B28" t="s">
        <v>40</v>
      </c>
      <c r="C28">
        <v>1</v>
      </c>
      <c r="D28">
        <v>-7.6</v>
      </c>
      <c r="E28">
        <v>6.72</v>
      </c>
      <c r="F28">
        <v>14.43</v>
      </c>
      <c r="G28">
        <v>12.71</v>
      </c>
      <c r="H28">
        <v>20.260000000000002</v>
      </c>
      <c r="I28">
        <v>-1.57</v>
      </c>
      <c r="J28">
        <v>12.96</v>
      </c>
      <c r="K28">
        <v>74.010000000000005</v>
      </c>
      <c r="L28" s="50">
        <v>110.4691227</v>
      </c>
      <c r="M28" s="50">
        <v>16.170156370000001</v>
      </c>
      <c r="N28" s="50">
        <v>-94.298966340000007</v>
      </c>
    </row>
    <row r="29" spans="1:14" ht="16" x14ac:dyDescent="0.2">
      <c r="A29" s="17">
        <v>103</v>
      </c>
      <c r="B29" t="s">
        <v>41</v>
      </c>
      <c r="C29">
        <v>1.89</v>
      </c>
      <c r="D29">
        <v>-10.1</v>
      </c>
      <c r="E29">
        <v>4.33</v>
      </c>
      <c r="F29">
        <v>16.649999999999999</v>
      </c>
      <c r="G29">
        <v>11.29</v>
      </c>
      <c r="H29">
        <v>16.670000000000002</v>
      </c>
      <c r="I29">
        <v>-1.21</v>
      </c>
      <c r="J29">
        <v>9.85</v>
      </c>
      <c r="K29">
        <v>81.99</v>
      </c>
      <c r="L29" s="50">
        <v>136.6914218</v>
      </c>
      <c r="M29" s="50">
        <v>14.166397590000001</v>
      </c>
      <c r="N29" s="50">
        <v>-122.5250242</v>
      </c>
    </row>
    <row r="30" spans="1:14" ht="16" x14ac:dyDescent="0.2">
      <c r="A30" s="17">
        <v>1003</v>
      </c>
      <c r="B30" t="s">
        <v>42</v>
      </c>
      <c r="C30">
        <v>1.1200000000000001</v>
      </c>
      <c r="D30">
        <v>4.5</v>
      </c>
      <c r="E30">
        <v>5.4</v>
      </c>
      <c r="F30">
        <v>12.82</v>
      </c>
      <c r="G30">
        <v>8.8699999999999992</v>
      </c>
      <c r="H30">
        <v>16.350000000000001</v>
      </c>
      <c r="I30">
        <v>-0.76</v>
      </c>
      <c r="J30">
        <v>21.11</v>
      </c>
      <c r="K30">
        <v>76.150000000000006</v>
      </c>
      <c r="L30" s="50">
        <v>124.8398941</v>
      </c>
      <c r="M30" s="50">
        <v>36.584407820000003</v>
      </c>
      <c r="N30" s="50">
        <v>-88.255486289999993</v>
      </c>
    </row>
    <row r="31" spans="1:14" ht="16" x14ac:dyDescent="0.2">
      <c r="A31" s="17">
        <v>1601</v>
      </c>
      <c r="B31" t="s">
        <v>43</v>
      </c>
      <c r="C31">
        <v>0.6</v>
      </c>
      <c r="D31">
        <v>4.3</v>
      </c>
      <c r="E31">
        <v>6.17</v>
      </c>
      <c r="F31">
        <v>10.78</v>
      </c>
      <c r="G31">
        <v>8.5299999999999994</v>
      </c>
      <c r="H31">
        <v>14.59</v>
      </c>
      <c r="I31">
        <v>-1.46</v>
      </c>
      <c r="J31">
        <v>10.44</v>
      </c>
      <c r="K31">
        <v>72.790000000000006</v>
      </c>
      <c r="L31" s="50">
        <v>139.1774996</v>
      </c>
      <c r="M31" s="50">
        <v>19.495481560000002</v>
      </c>
      <c r="N31" s="50">
        <v>-119.68201809999999</v>
      </c>
    </row>
    <row r="32" spans="1:14" ht="16" x14ac:dyDescent="0.2">
      <c r="A32" s="17">
        <v>601</v>
      </c>
      <c r="B32" t="s">
        <v>44</v>
      </c>
      <c r="C32">
        <v>1.1100000000000001</v>
      </c>
      <c r="D32">
        <v>2.2999999999999998</v>
      </c>
      <c r="E32">
        <v>5.22</v>
      </c>
      <c r="F32">
        <v>10.19</v>
      </c>
      <c r="G32">
        <v>8.42</v>
      </c>
      <c r="H32">
        <v>14.45</v>
      </c>
      <c r="I32">
        <v>-1.1100000000000001</v>
      </c>
      <c r="J32">
        <v>15.56</v>
      </c>
      <c r="K32">
        <v>72.069999999999993</v>
      </c>
      <c r="L32" s="50">
        <v>104.1368195</v>
      </c>
      <c r="M32" s="50">
        <v>41.937679080000002</v>
      </c>
      <c r="N32" s="50">
        <v>-62.199140399999997</v>
      </c>
    </row>
    <row r="33" spans="1:14" ht="16" x14ac:dyDescent="0.2">
      <c r="A33" s="17">
        <v>1801</v>
      </c>
      <c r="B33" t="s">
        <v>45</v>
      </c>
      <c r="C33">
        <v>0.61</v>
      </c>
      <c r="D33">
        <v>4.9000000000000004</v>
      </c>
      <c r="E33">
        <v>9.08</v>
      </c>
      <c r="F33">
        <v>10.050000000000001</v>
      </c>
      <c r="G33">
        <v>12.88</v>
      </c>
      <c r="H33">
        <v>20.77</v>
      </c>
      <c r="I33">
        <v>-1.1399999999999999</v>
      </c>
      <c r="J33">
        <v>32.65</v>
      </c>
      <c r="K33">
        <v>71.17</v>
      </c>
      <c r="L33" s="50">
        <v>179.15138820000001</v>
      </c>
      <c r="M33" s="50">
        <v>70.707176529999998</v>
      </c>
      <c r="N33" s="50">
        <v>-108.4442116</v>
      </c>
    </row>
    <row r="34" spans="1:14" ht="16" x14ac:dyDescent="0.2">
      <c r="A34" s="17">
        <v>104</v>
      </c>
      <c r="B34" t="s">
        <v>46</v>
      </c>
      <c r="C34">
        <v>0.36</v>
      </c>
      <c r="D34">
        <v>-8.6</v>
      </c>
      <c r="E34">
        <v>4.83</v>
      </c>
      <c r="F34">
        <v>12.26</v>
      </c>
      <c r="G34">
        <v>11</v>
      </c>
      <c r="H34">
        <v>16.010000000000002</v>
      </c>
      <c r="I34">
        <v>-0.88</v>
      </c>
      <c r="J34">
        <v>12.3</v>
      </c>
      <c r="K34">
        <v>74.31</v>
      </c>
      <c r="L34" s="50">
        <v>125.1425856</v>
      </c>
      <c r="M34" s="50">
        <v>17.510456269999999</v>
      </c>
      <c r="N34" s="50">
        <v>-107.6321293</v>
      </c>
    </row>
    <row r="35" spans="1:14" ht="16" x14ac:dyDescent="0.2">
      <c r="A35" s="17">
        <v>702</v>
      </c>
      <c r="B35" t="s">
        <v>47</v>
      </c>
      <c r="C35">
        <v>0.28000000000000003</v>
      </c>
      <c r="D35">
        <v>9.4</v>
      </c>
      <c r="E35">
        <v>5.35</v>
      </c>
      <c r="F35">
        <v>13.47</v>
      </c>
      <c r="G35">
        <v>11.56</v>
      </c>
      <c r="H35">
        <v>14</v>
      </c>
      <c r="I35">
        <v>-11.92</v>
      </c>
      <c r="J35">
        <v>8.11</v>
      </c>
      <c r="K35">
        <v>77.099999999999994</v>
      </c>
      <c r="L35" s="50">
        <v>125.3722454</v>
      </c>
      <c r="M35" s="50">
        <v>64.371649790000006</v>
      </c>
      <c r="N35" s="50">
        <v>-61.000595590000003</v>
      </c>
    </row>
    <row r="36" spans="1:14" ht="16" x14ac:dyDescent="0.2">
      <c r="A36" s="17">
        <v>1202</v>
      </c>
      <c r="B36" t="s">
        <v>48</v>
      </c>
      <c r="C36">
        <v>0.12</v>
      </c>
      <c r="D36">
        <v>4</v>
      </c>
      <c r="E36">
        <v>4.67</v>
      </c>
      <c r="F36">
        <v>11.72</v>
      </c>
      <c r="G36">
        <v>9.9700000000000006</v>
      </c>
      <c r="H36">
        <v>22.5</v>
      </c>
      <c r="I36">
        <v>-3.2</v>
      </c>
      <c r="J36">
        <v>11.38</v>
      </c>
      <c r="K36">
        <v>75.87</v>
      </c>
      <c r="L36" s="50">
        <v>127.0182992</v>
      </c>
      <c r="M36" s="50">
        <v>167.52780770000001</v>
      </c>
      <c r="N36" s="50">
        <v>40.509508429999997</v>
      </c>
    </row>
    <row r="37" spans="1:14" ht="16" x14ac:dyDescent="0.2">
      <c r="A37" s="17">
        <v>1102</v>
      </c>
      <c r="B37" t="s">
        <v>49</v>
      </c>
      <c r="C37">
        <v>1.1399999999999999</v>
      </c>
      <c r="D37">
        <v>0.1</v>
      </c>
      <c r="E37">
        <v>5.31</v>
      </c>
      <c r="F37">
        <v>23.37</v>
      </c>
      <c r="G37">
        <v>13.24</v>
      </c>
      <c r="H37">
        <v>17.45</v>
      </c>
      <c r="I37">
        <v>-3.79</v>
      </c>
      <c r="J37">
        <v>10.39</v>
      </c>
      <c r="K37">
        <v>103.15</v>
      </c>
      <c r="L37" s="50">
        <v>126.8796341</v>
      </c>
      <c r="M37" s="50">
        <v>18.67507449</v>
      </c>
      <c r="N37" s="50">
        <v>-108.2045596</v>
      </c>
    </row>
    <row r="38" spans="1:14" ht="16" x14ac:dyDescent="0.2">
      <c r="A38" s="17">
        <v>105</v>
      </c>
      <c r="B38" t="s">
        <v>50</v>
      </c>
      <c r="C38">
        <v>2.42</v>
      </c>
      <c r="D38">
        <v>0.4</v>
      </c>
      <c r="E38">
        <v>5.7</v>
      </c>
      <c r="F38">
        <v>30.18</v>
      </c>
      <c r="G38">
        <v>12.42</v>
      </c>
      <c r="H38">
        <v>15.22</v>
      </c>
      <c r="I38">
        <v>-2.1</v>
      </c>
      <c r="J38">
        <v>20.100000000000001</v>
      </c>
      <c r="K38">
        <v>119.68</v>
      </c>
      <c r="L38" s="50">
        <v>129.2892602</v>
      </c>
      <c r="M38" s="50">
        <v>3.5844533240000001</v>
      </c>
      <c r="N38" s="50">
        <v>-125.70480689999999</v>
      </c>
    </row>
    <row r="39" spans="1:14" ht="16" x14ac:dyDescent="0.2">
      <c r="A39" s="17">
        <v>1203</v>
      </c>
      <c r="B39" t="s">
        <v>51</v>
      </c>
      <c r="C39">
        <v>0.24</v>
      </c>
      <c r="D39">
        <v>18.600000000000001</v>
      </c>
      <c r="E39">
        <v>8.4499999999999993</v>
      </c>
      <c r="F39">
        <v>10.36</v>
      </c>
      <c r="G39">
        <v>7.53</v>
      </c>
      <c r="H39">
        <v>15.16</v>
      </c>
      <c r="I39">
        <v>-12.32</v>
      </c>
      <c r="J39">
        <v>60.61</v>
      </c>
      <c r="K39">
        <v>78.56</v>
      </c>
      <c r="L39" s="50">
        <v>113.6957658</v>
      </c>
      <c r="M39" s="50">
        <v>115.38944069999999</v>
      </c>
      <c r="N39" s="50">
        <v>1.6936748559999999</v>
      </c>
    </row>
    <row r="40" spans="1:14" ht="16" x14ac:dyDescent="0.2">
      <c r="A40" s="17">
        <v>1103</v>
      </c>
      <c r="B40" t="s">
        <v>52</v>
      </c>
      <c r="C40">
        <v>1.81</v>
      </c>
      <c r="D40">
        <v>-2.4</v>
      </c>
      <c r="E40">
        <v>7.35</v>
      </c>
      <c r="F40">
        <v>13.45</v>
      </c>
      <c r="G40">
        <v>12.31</v>
      </c>
      <c r="H40">
        <v>20.89</v>
      </c>
      <c r="I40">
        <v>-5.56</v>
      </c>
      <c r="J40">
        <v>23.37</v>
      </c>
      <c r="K40">
        <v>111.05</v>
      </c>
      <c r="L40" s="50">
        <v>85.653202329999999</v>
      </c>
      <c r="M40" s="50">
        <v>14.95223799</v>
      </c>
      <c r="N40" s="50">
        <v>-70.700964339999999</v>
      </c>
    </row>
    <row r="41" spans="1:14" ht="16" x14ac:dyDescent="0.2">
      <c r="A41" s="17">
        <v>1302</v>
      </c>
      <c r="B41" t="s">
        <v>53</v>
      </c>
      <c r="C41">
        <v>0.33</v>
      </c>
      <c r="D41">
        <v>8</v>
      </c>
      <c r="E41">
        <v>9.2799999999999994</v>
      </c>
      <c r="F41">
        <v>8</v>
      </c>
      <c r="G41">
        <v>13.7</v>
      </c>
      <c r="H41">
        <v>15.3</v>
      </c>
      <c r="I41">
        <v>-0.7</v>
      </c>
      <c r="J41">
        <v>46.53</v>
      </c>
      <c r="K41">
        <v>62.73</v>
      </c>
      <c r="L41" s="50">
        <v>92.911218169999998</v>
      </c>
      <c r="M41" s="50">
        <v>19.779765999999999</v>
      </c>
      <c r="N41" s="50">
        <v>-73.131452170000003</v>
      </c>
    </row>
    <row r="42" spans="1:14" ht="16" x14ac:dyDescent="0.2">
      <c r="A42" s="17">
        <v>302</v>
      </c>
      <c r="B42" t="s">
        <v>54</v>
      </c>
      <c r="C42">
        <v>1.06</v>
      </c>
      <c r="D42">
        <v>-0.9</v>
      </c>
      <c r="E42">
        <v>5.31</v>
      </c>
      <c r="F42">
        <v>14.01</v>
      </c>
      <c r="G42">
        <v>10.98</v>
      </c>
      <c r="H42">
        <v>17.93</v>
      </c>
      <c r="I42">
        <v>-1.19</v>
      </c>
      <c r="J42">
        <v>4.7300000000000004</v>
      </c>
      <c r="K42">
        <v>81.63</v>
      </c>
      <c r="L42" s="50">
        <v>122.5534323</v>
      </c>
      <c r="M42" s="50">
        <v>2.7618459739999999</v>
      </c>
      <c r="N42" s="50">
        <v>-119.79158630000001</v>
      </c>
    </row>
    <row r="43" spans="1:14" ht="16" x14ac:dyDescent="0.2">
      <c r="A43" s="17">
        <v>204</v>
      </c>
      <c r="B43" t="s">
        <v>55</v>
      </c>
      <c r="C43">
        <v>0.42</v>
      </c>
      <c r="D43">
        <v>31.4</v>
      </c>
      <c r="E43">
        <v>9.32</v>
      </c>
      <c r="F43">
        <v>8.7100000000000009</v>
      </c>
      <c r="G43">
        <v>11.4</v>
      </c>
      <c r="H43">
        <v>20.51</v>
      </c>
      <c r="I43">
        <v>-5.03</v>
      </c>
      <c r="J43">
        <v>47.27</v>
      </c>
      <c r="K43">
        <v>67.19</v>
      </c>
      <c r="L43" s="50">
        <v>172.89719629999999</v>
      </c>
      <c r="M43" s="50">
        <v>234.58611479999999</v>
      </c>
      <c r="N43" s="50">
        <v>61.688918559999998</v>
      </c>
    </row>
    <row r="44" spans="1:14" ht="16" x14ac:dyDescent="0.2">
      <c r="A44" s="17">
        <v>1504</v>
      </c>
      <c r="B44" t="s">
        <v>56</v>
      </c>
      <c r="C44">
        <v>2.81</v>
      </c>
      <c r="D44">
        <v>-3</v>
      </c>
      <c r="E44">
        <v>10.29</v>
      </c>
      <c r="F44">
        <v>20.37</v>
      </c>
      <c r="G44">
        <v>10.61</v>
      </c>
      <c r="H44">
        <v>15.56</v>
      </c>
      <c r="I44">
        <v>-9.9600000000000009</v>
      </c>
      <c r="J44">
        <v>47.21</v>
      </c>
      <c r="K44">
        <v>96.5</v>
      </c>
      <c r="L44" s="50">
        <v>86.778644580000005</v>
      </c>
      <c r="M44" s="50">
        <v>5.0517114320000003</v>
      </c>
      <c r="N44" s="50">
        <v>-81.72693314</v>
      </c>
    </row>
    <row r="45" spans="1:14" ht="16" x14ac:dyDescent="0.2">
      <c r="A45" s="17">
        <v>1004</v>
      </c>
      <c r="B45" t="s">
        <v>57</v>
      </c>
      <c r="C45">
        <v>3.72</v>
      </c>
      <c r="D45">
        <v>2.4</v>
      </c>
      <c r="E45">
        <v>4.82</v>
      </c>
      <c r="F45">
        <v>17.489999999999998</v>
      </c>
      <c r="G45">
        <v>11.58</v>
      </c>
      <c r="H45">
        <v>20</v>
      </c>
      <c r="I45">
        <v>-0.81</v>
      </c>
      <c r="J45">
        <v>8.11</v>
      </c>
      <c r="K45">
        <v>89.31</v>
      </c>
      <c r="L45" s="50">
        <v>131.16514050000001</v>
      </c>
      <c r="M45" s="50">
        <v>21.281338810000001</v>
      </c>
      <c r="N45" s="50">
        <v>-109.88380170000001</v>
      </c>
    </row>
    <row r="46" spans="1:14" ht="16" x14ac:dyDescent="0.2">
      <c r="A46" s="17">
        <v>205</v>
      </c>
      <c r="B46" t="s">
        <v>58</v>
      </c>
      <c r="C46">
        <v>2.06</v>
      </c>
      <c r="D46">
        <v>14.2</v>
      </c>
      <c r="E46">
        <v>5.83</v>
      </c>
      <c r="F46">
        <v>22.93</v>
      </c>
      <c r="G46">
        <v>12.39</v>
      </c>
      <c r="H46">
        <v>18.510000000000002</v>
      </c>
      <c r="I46">
        <v>-8.08</v>
      </c>
      <c r="J46">
        <v>53.01</v>
      </c>
      <c r="K46">
        <v>101.74</v>
      </c>
      <c r="L46" s="50">
        <v>139.6088456</v>
      </c>
      <c r="M46" s="50">
        <v>10.68452027</v>
      </c>
      <c r="N46" s="50">
        <v>-128.92432529999999</v>
      </c>
    </row>
    <row r="47" spans="1:14" ht="16" x14ac:dyDescent="0.2">
      <c r="A47" s="17">
        <v>501</v>
      </c>
      <c r="B47" t="s">
        <v>59</v>
      </c>
      <c r="C47">
        <v>0.7</v>
      </c>
      <c r="D47">
        <v>4.7</v>
      </c>
      <c r="E47">
        <v>8.6199999999999992</v>
      </c>
      <c r="F47">
        <v>12.24</v>
      </c>
      <c r="G47">
        <v>11.95</v>
      </c>
      <c r="H47">
        <v>18.170000000000002</v>
      </c>
      <c r="I47">
        <v>-3.14</v>
      </c>
      <c r="J47">
        <v>37.4</v>
      </c>
      <c r="K47">
        <v>74.39</v>
      </c>
      <c r="L47" s="50">
        <v>112.8122482</v>
      </c>
      <c r="M47" s="50">
        <v>65.93231265</v>
      </c>
      <c r="N47" s="50">
        <v>-46.879935539999998</v>
      </c>
    </row>
    <row r="48" spans="1:14" ht="16" x14ac:dyDescent="0.2">
      <c r="A48" s="17">
        <v>1405</v>
      </c>
      <c r="B48" t="s">
        <v>60</v>
      </c>
      <c r="C48">
        <v>1.5</v>
      </c>
      <c r="D48">
        <v>-2.8</v>
      </c>
      <c r="E48">
        <v>7.75</v>
      </c>
      <c r="F48">
        <v>16.170000000000002</v>
      </c>
      <c r="G48">
        <v>16.809999999999999</v>
      </c>
      <c r="H48">
        <v>26.89</v>
      </c>
      <c r="I48">
        <v>-6.47</v>
      </c>
      <c r="J48">
        <v>24.61</v>
      </c>
      <c r="K48">
        <v>96.67</v>
      </c>
      <c r="L48" s="50">
        <v>101.2098348</v>
      </c>
      <c r="M48" s="50">
        <v>10.017562119999999</v>
      </c>
      <c r="N48" s="50">
        <v>-91.192272669999994</v>
      </c>
    </row>
    <row r="49" spans="1:14" ht="16" x14ac:dyDescent="0.2">
      <c r="A49" s="17">
        <v>1005</v>
      </c>
      <c r="B49" t="s">
        <v>61</v>
      </c>
      <c r="C49">
        <v>1.64</v>
      </c>
      <c r="D49">
        <v>-3.5</v>
      </c>
      <c r="E49">
        <v>6.86</v>
      </c>
      <c r="F49">
        <v>14.07</v>
      </c>
      <c r="G49">
        <v>11.8</v>
      </c>
      <c r="H49">
        <v>18.66</v>
      </c>
      <c r="I49">
        <v>-3.18</v>
      </c>
      <c r="J49">
        <v>9.7899999999999991</v>
      </c>
      <c r="K49">
        <v>85.27</v>
      </c>
      <c r="L49" s="50">
        <v>139.3485982</v>
      </c>
      <c r="M49" s="50">
        <v>27.57349052</v>
      </c>
      <c r="N49" s="50">
        <v>-111.77510770000001</v>
      </c>
    </row>
    <row r="50" spans="1:14" ht="16" x14ac:dyDescent="0.2">
      <c r="A50" s="17">
        <v>703</v>
      </c>
      <c r="B50" t="s">
        <v>62</v>
      </c>
      <c r="C50">
        <v>0.24</v>
      </c>
      <c r="D50">
        <v>13.7</v>
      </c>
      <c r="E50">
        <v>5.81</v>
      </c>
      <c r="F50">
        <v>10.78</v>
      </c>
      <c r="G50">
        <v>12.53</v>
      </c>
      <c r="H50">
        <v>18.78</v>
      </c>
      <c r="I50">
        <v>-5.7</v>
      </c>
      <c r="J50">
        <v>47.24</v>
      </c>
      <c r="K50">
        <v>75.84</v>
      </c>
      <c r="L50" s="50">
        <v>140.02785080000001</v>
      </c>
      <c r="M50" s="50">
        <v>78.04115736</v>
      </c>
      <c r="N50" s="50">
        <v>-61.98669349</v>
      </c>
    </row>
    <row r="51" spans="1:14" ht="16" x14ac:dyDescent="0.2">
      <c r="A51" s="17">
        <v>1702</v>
      </c>
      <c r="B51" t="s">
        <v>63</v>
      </c>
      <c r="C51">
        <v>0.56999999999999995</v>
      </c>
      <c r="D51">
        <v>1</v>
      </c>
      <c r="E51">
        <v>5.73</v>
      </c>
      <c r="F51">
        <v>9.0500000000000007</v>
      </c>
      <c r="G51">
        <v>3.21</v>
      </c>
      <c r="H51">
        <v>11.51</v>
      </c>
      <c r="I51">
        <v>-0.98</v>
      </c>
      <c r="J51">
        <v>19.399999999999999</v>
      </c>
      <c r="K51">
        <v>65.8</v>
      </c>
      <c r="L51" s="50">
        <v>134.77908389999999</v>
      </c>
      <c r="M51" s="50">
        <v>90.387109850000002</v>
      </c>
      <c r="N51" s="50">
        <v>-44.391974060000003</v>
      </c>
    </row>
    <row r="52" spans="1:14" ht="16" x14ac:dyDescent="0.2">
      <c r="A52" s="17">
        <v>303</v>
      </c>
      <c r="B52" t="s">
        <v>64</v>
      </c>
      <c r="C52">
        <v>2.12</v>
      </c>
      <c r="D52">
        <v>-2.6</v>
      </c>
      <c r="E52">
        <v>7.61</v>
      </c>
      <c r="F52">
        <v>29.19</v>
      </c>
      <c r="G52">
        <v>11.59</v>
      </c>
      <c r="H52">
        <v>14.2</v>
      </c>
      <c r="I52">
        <v>-3.28</v>
      </c>
      <c r="J52">
        <v>14.48</v>
      </c>
      <c r="K52">
        <v>105.39</v>
      </c>
      <c r="L52" s="50">
        <v>123.53923210000001</v>
      </c>
      <c r="M52" s="50">
        <v>1.440642379</v>
      </c>
      <c r="N52" s="50">
        <v>-122.09858970000001</v>
      </c>
    </row>
    <row r="53" spans="1:14" ht="16" x14ac:dyDescent="0.2">
      <c r="A53" s="17">
        <v>402</v>
      </c>
      <c r="B53" t="s">
        <v>65</v>
      </c>
      <c r="C53">
        <v>1.62</v>
      </c>
      <c r="D53">
        <v>0.4</v>
      </c>
      <c r="E53">
        <v>6.62</v>
      </c>
      <c r="F53">
        <v>25.51</v>
      </c>
      <c r="G53">
        <v>11.61</v>
      </c>
      <c r="H53">
        <v>15.74</v>
      </c>
      <c r="I53">
        <v>-1.28</v>
      </c>
      <c r="J53">
        <v>19.760000000000002</v>
      </c>
      <c r="K53">
        <v>95.89</v>
      </c>
      <c r="L53" s="50">
        <v>189.1355039</v>
      </c>
      <c r="M53" s="50">
        <v>9.0859890029999999</v>
      </c>
      <c r="N53" s="50">
        <v>-180.04951489999999</v>
      </c>
    </row>
    <row r="54" spans="1:14" ht="16" x14ac:dyDescent="0.2">
      <c r="A54" s="17">
        <v>304</v>
      </c>
      <c r="B54" t="s">
        <v>66</v>
      </c>
      <c r="C54">
        <v>0.23</v>
      </c>
      <c r="D54">
        <v>0.2</v>
      </c>
      <c r="E54">
        <v>8.59</v>
      </c>
      <c r="F54">
        <v>12.51</v>
      </c>
      <c r="G54">
        <v>8.51</v>
      </c>
      <c r="H54">
        <v>13.88</v>
      </c>
      <c r="I54">
        <v>-1.04</v>
      </c>
      <c r="J54">
        <v>25.69</v>
      </c>
      <c r="K54">
        <v>69.02</v>
      </c>
      <c r="L54" s="50">
        <v>107.7913715</v>
      </c>
      <c r="M54" s="50">
        <v>21.463618799999999</v>
      </c>
      <c r="N54" s="50">
        <v>-86.327752739999994</v>
      </c>
    </row>
    <row r="55" spans="1:14" ht="16" x14ac:dyDescent="0.2">
      <c r="A55" s="17">
        <v>1104</v>
      </c>
      <c r="B55" t="s">
        <v>67</v>
      </c>
      <c r="C55">
        <v>0.65</v>
      </c>
      <c r="D55">
        <v>-1.1000000000000001</v>
      </c>
      <c r="E55">
        <v>6.38</v>
      </c>
      <c r="F55">
        <v>11.7</v>
      </c>
      <c r="G55">
        <v>11.02</v>
      </c>
      <c r="H55">
        <v>19.77</v>
      </c>
      <c r="I55">
        <v>-1.69</v>
      </c>
      <c r="J55">
        <v>13.57</v>
      </c>
      <c r="K55">
        <v>76.03</v>
      </c>
      <c r="L55" s="50">
        <v>132.65895950000001</v>
      </c>
      <c r="M55" s="50">
        <v>27.73988439</v>
      </c>
      <c r="N55" s="50">
        <v>-104.9190751</v>
      </c>
    </row>
    <row r="56" spans="1:14" ht="16" x14ac:dyDescent="0.2">
      <c r="A56" s="17">
        <v>1006</v>
      </c>
      <c r="B56" t="s">
        <v>68</v>
      </c>
      <c r="C56">
        <v>2.5499999999999998</v>
      </c>
      <c r="D56">
        <v>-1</v>
      </c>
      <c r="E56">
        <v>7.46</v>
      </c>
      <c r="F56">
        <v>19.809999999999999</v>
      </c>
      <c r="G56">
        <v>13.68</v>
      </c>
      <c r="H56">
        <v>17.41</v>
      </c>
      <c r="I56">
        <v>-2.14</v>
      </c>
      <c r="J56">
        <v>12.79</v>
      </c>
      <c r="K56">
        <v>98.79</v>
      </c>
      <c r="L56" s="50">
        <v>137.5880248</v>
      </c>
      <c r="M56" s="50">
        <v>6.523838842</v>
      </c>
      <c r="N56" s="50">
        <v>-131.06418590000001</v>
      </c>
    </row>
    <row r="57" spans="1:14" ht="16" x14ac:dyDescent="0.2">
      <c r="A57" s="17">
        <v>1602</v>
      </c>
      <c r="B57" t="s">
        <v>69</v>
      </c>
      <c r="C57">
        <v>1.86</v>
      </c>
      <c r="D57">
        <v>2.8</v>
      </c>
      <c r="E57">
        <v>6.82</v>
      </c>
      <c r="F57">
        <v>18.13</v>
      </c>
      <c r="G57">
        <v>11.14</v>
      </c>
      <c r="H57">
        <v>17.54</v>
      </c>
      <c r="I57">
        <v>-1.2</v>
      </c>
      <c r="J57">
        <v>12.63</v>
      </c>
      <c r="K57">
        <v>86.45</v>
      </c>
      <c r="L57" s="50">
        <v>148.08777430000001</v>
      </c>
      <c r="M57" s="50">
        <v>24.270219440000002</v>
      </c>
      <c r="N57" s="50">
        <v>-123.8175549</v>
      </c>
    </row>
    <row r="58" spans="1:14" ht="16" x14ac:dyDescent="0.2">
      <c r="A58" s="17">
        <v>1204</v>
      </c>
      <c r="B58" t="s">
        <v>70</v>
      </c>
      <c r="C58">
        <v>0.19</v>
      </c>
      <c r="D58">
        <v>5</v>
      </c>
      <c r="E58">
        <v>6.72</v>
      </c>
      <c r="F58">
        <v>13.69</v>
      </c>
      <c r="G58">
        <v>12.64</v>
      </c>
      <c r="H58">
        <v>24.9</v>
      </c>
      <c r="I58">
        <v>-5.38</v>
      </c>
      <c r="J58">
        <v>53.97</v>
      </c>
      <c r="K58">
        <v>90.58</v>
      </c>
      <c r="L58" s="50">
        <v>95.629435939999993</v>
      </c>
      <c r="M58" s="50">
        <v>47.921803009999998</v>
      </c>
      <c r="N58" s="50">
        <v>-47.707632920000002</v>
      </c>
    </row>
    <row r="59" spans="1:14" ht="16" x14ac:dyDescent="0.2">
      <c r="A59" s="17">
        <v>602</v>
      </c>
      <c r="B59" t="s">
        <v>71</v>
      </c>
      <c r="C59">
        <v>0.85</v>
      </c>
      <c r="D59">
        <v>-1.8</v>
      </c>
      <c r="E59">
        <v>5.29</v>
      </c>
      <c r="F59">
        <v>16.88</v>
      </c>
      <c r="G59">
        <v>11.76</v>
      </c>
      <c r="H59">
        <v>18.62</v>
      </c>
      <c r="I59">
        <v>-1.56</v>
      </c>
      <c r="J59">
        <v>15.3</v>
      </c>
      <c r="K59">
        <v>84.39</v>
      </c>
      <c r="L59" s="50">
        <v>147.0152075</v>
      </c>
      <c r="M59" s="50">
        <v>10.87144893</v>
      </c>
      <c r="N59" s="50">
        <v>-136.14375849999999</v>
      </c>
    </row>
    <row r="60" spans="1:14" ht="16" x14ac:dyDescent="0.2">
      <c r="A60" s="17">
        <v>403</v>
      </c>
      <c r="B60" t="s">
        <v>72</v>
      </c>
      <c r="C60">
        <v>0.57999999999999996</v>
      </c>
      <c r="D60">
        <v>0.4</v>
      </c>
      <c r="E60">
        <v>9.92</v>
      </c>
      <c r="F60">
        <v>10.52</v>
      </c>
      <c r="G60">
        <v>9.5500000000000007</v>
      </c>
      <c r="H60">
        <v>19.07</v>
      </c>
      <c r="I60">
        <v>-0.85</v>
      </c>
      <c r="J60">
        <v>23.37</v>
      </c>
      <c r="K60">
        <v>67.92</v>
      </c>
      <c r="L60" s="50">
        <v>191.8894009</v>
      </c>
      <c r="M60" s="50">
        <v>83.150230410000006</v>
      </c>
      <c r="N60" s="50">
        <v>-108.7391705</v>
      </c>
    </row>
    <row r="61" spans="1:14" ht="16" x14ac:dyDescent="0.2">
      <c r="A61" s="17">
        <v>1802</v>
      </c>
      <c r="B61" t="s">
        <v>73</v>
      </c>
      <c r="C61">
        <v>0.93</v>
      </c>
      <c r="D61">
        <v>-2.2000000000000002</v>
      </c>
      <c r="E61">
        <v>6.23</v>
      </c>
      <c r="F61">
        <v>11</v>
      </c>
      <c r="G61">
        <v>11.01</v>
      </c>
      <c r="H61">
        <v>19.02</v>
      </c>
      <c r="I61">
        <v>-0.6</v>
      </c>
      <c r="J61">
        <v>20.22</v>
      </c>
      <c r="K61">
        <v>72.87</v>
      </c>
      <c r="L61" s="50">
        <v>97.402597400000005</v>
      </c>
      <c r="M61" s="50">
        <v>44.329738059999997</v>
      </c>
      <c r="N61" s="50">
        <v>-53.072859340000001</v>
      </c>
    </row>
    <row r="62" spans="1:14" ht="16" x14ac:dyDescent="0.2">
      <c r="A62" s="17">
        <v>1406</v>
      </c>
      <c r="B62" t="s">
        <v>74</v>
      </c>
      <c r="C62">
        <v>1.31</v>
      </c>
      <c r="D62">
        <v>2.2999999999999998</v>
      </c>
      <c r="E62">
        <v>7.75</v>
      </c>
      <c r="F62">
        <v>16.62</v>
      </c>
      <c r="G62">
        <v>13.19</v>
      </c>
      <c r="H62">
        <v>21.38</v>
      </c>
      <c r="I62">
        <v>-4.41</v>
      </c>
      <c r="J62">
        <v>10.57</v>
      </c>
      <c r="K62">
        <v>90.17</v>
      </c>
      <c r="L62" s="50">
        <v>100.0126545</v>
      </c>
      <c r="M62" s="50">
        <v>15.41148184</v>
      </c>
      <c r="N62" s="50">
        <v>-84.601172649999995</v>
      </c>
    </row>
    <row r="63" spans="1:14" ht="16" x14ac:dyDescent="0.2">
      <c r="A63" s="17">
        <v>1105</v>
      </c>
      <c r="B63" t="s">
        <v>75</v>
      </c>
      <c r="C63">
        <v>1.8</v>
      </c>
      <c r="D63">
        <v>-1.8</v>
      </c>
      <c r="E63">
        <v>8.2799999999999994</v>
      </c>
      <c r="F63">
        <v>35.11</v>
      </c>
      <c r="G63">
        <v>12.59</v>
      </c>
      <c r="H63">
        <v>14.78</v>
      </c>
      <c r="I63">
        <v>-2.9</v>
      </c>
      <c r="J63">
        <v>20.95</v>
      </c>
      <c r="K63">
        <v>121.83</v>
      </c>
      <c r="L63" s="50">
        <v>157.2406441</v>
      </c>
      <c r="M63" s="50">
        <v>1.3571882770000001</v>
      </c>
      <c r="N63" s="50">
        <v>-155.88345580000001</v>
      </c>
    </row>
    <row r="64" spans="1:14" ht="16" x14ac:dyDescent="0.2">
      <c r="A64" s="17">
        <v>1007</v>
      </c>
      <c r="B64" t="s">
        <v>76</v>
      </c>
      <c r="C64">
        <v>0.75</v>
      </c>
      <c r="D64">
        <v>10.199999999999999</v>
      </c>
      <c r="E64">
        <v>7.63</v>
      </c>
      <c r="F64">
        <v>7.96</v>
      </c>
      <c r="G64">
        <v>8.68</v>
      </c>
      <c r="H64">
        <v>13.6</v>
      </c>
      <c r="I64">
        <v>-1.08</v>
      </c>
      <c r="J64">
        <v>21.27</v>
      </c>
      <c r="K64">
        <v>72.540000000000006</v>
      </c>
      <c r="L64" s="50">
        <v>101.33630290000001</v>
      </c>
      <c r="M64" s="50">
        <v>232.52412770000001</v>
      </c>
      <c r="N64" s="50">
        <v>131.18782479999999</v>
      </c>
    </row>
    <row r="65" spans="1:14" ht="16" x14ac:dyDescent="0.2">
      <c r="A65" s="17">
        <v>502</v>
      </c>
      <c r="B65" t="s">
        <v>77</v>
      </c>
      <c r="C65">
        <v>1.67</v>
      </c>
      <c r="D65">
        <v>2.8</v>
      </c>
      <c r="E65">
        <v>5.67</v>
      </c>
      <c r="F65">
        <v>22.11</v>
      </c>
      <c r="G65">
        <v>12.81</v>
      </c>
      <c r="H65">
        <v>22.42</v>
      </c>
      <c r="I65">
        <v>-2.42</v>
      </c>
      <c r="J65">
        <v>25.29</v>
      </c>
      <c r="K65">
        <v>96.2</v>
      </c>
      <c r="L65" s="50">
        <v>112.44092089999999</v>
      </c>
      <c r="M65" s="50">
        <v>7.0744397010000002</v>
      </c>
      <c r="N65" s="50">
        <v>-105.3664812</v>
      </c>
    </row>
    <row r="66" spans="1:14" ht="16" x14ac:dyDescent="0.2">
      <c r="A66" s="17">
        <v>106</v>
      </c>
      <c r="B66" t="s">
        <v>78</v>
      </c>
      <c r="C66">
        <v>0.73</v>
      </c>
      <c r="D66">
        <v>-4.5</v>
      </c>
      <c r="E66">
        <v>7.06</v>
      </c>
      <c r="F66">
        <v>9.25</v>
      </c>
      <c r="G66">
        <v>10.35</v>
      </c>
      <c r="H66">
        <v>13.78</v>
      </c>
      <c r="I66">
        <v>-0.85</v>
      </c>
      <c r="J66">
        <v>20.88</v>
      </c>
      <c r="K66">
        <v>70.62</v>
      </c>
      <c r="L66" s="50">
        <v>90.420711969999999</v>
      </c>
      <c r="M66" s="50">
        <v>22.685436889999998</v>
      </c>
      <c r="N66" s="50">
        <v>-67.735275079999994</v>
      </c>
    </row>
    <row r="67" spans="1:14" ht="16" x14ac:dyDescent="0.2">
      <c r="A67" s="17">
        <v>1205</v>
      </c>
      <c r="B67" t="s">
        <v>79</v>
      </c>
      <c r="C67">
        <v>0.05</v>
      </c>
      <c r="D67">
        <v>18.600000000000001</v>
      </c>
      <c r="E67">
        <v>5.23</v>
      </c>
      <c r="F67">
        <v>16.100000000000001</v>
      </c>
      <c r="G67">
        <v>7.29</v>
      </c>
      <c r="H67">
        <v>16.37</v>
      </c>
      <c r="I67">
        <v>-2.0099999999999998</v>
      </c>
      <c r="J67">
        <v>17.13</v>
      </c>
      <c r="K67">
        <v>79.39</v>
      </c>
      <c r="L67" s="50">
        <v>120.5496565</v>
      </c>
      <c r="M67" s="50">
        <v>154.42223609999999</v>
      </c>
      <c r="N67" s="50">
        <v>33.872579639999998</v>
      </c>
    </row>
    <row r="68" spans="1:14" ht="16" x14ac:dyDescent="0.2">
      <c r="A68" s="17">
        <v>1803</v>
      </c>
      <c r="B68" t="s">
        <v>80</v>
      </c>
      <c r="C68">
        <v>0.49</v>
      </c>
      <c r="D68">
        <v>0.8</v>
      </c>
      <c r="E68">
        <v>8.5500000000000007</v>
      </c>
      <c r="F68">
        <v>9.59</v>
      </c>
      <c r="G68">
        <v>11.07</v>
      </c>
      <c r="H68">
        <v>21.82</v>
      </c>
      <c r="I68">
        <v>-0.44</v>
      </c>
      <c r="J68">
        <v>27</v>
      </c>
      <c r="K68">
        <v>67.819999999999993</v>
      </c>
      <c r="L68" s="50">
        <v>104.58232839999999</v>
      </c>
      <c r="M68" s="50">
        <v>33.160125700000002</v>
      </c>
      <c r="N68" s="50">
        <v>-71.422202729999995</v>
      </c>
    </row>
    <row r="69" spans="1:14" ht="16" x14ac:dyDescent="0.2">
      <c r="A69" s="17">
        <v>804</v>
      </c>
      <c r="B69" t="s">
        <v>81</v>
      </c>
      <c r="C69">
        <v>1.71</v>
      </c>
      <c r="D69">
        <v>17.100000000000001</v>
      </c>
      <c r="E69">
        <v>10.54</v>
      </c>
      <c r="F69">
        <v>13.21</v>
      </c>
      <c r="G69">
        <v>15.15</v>
      </c>
      <c r="H69">
        <v>27.47</v>
      </c>
      <c r="I69">
        <v>-3.71</v>
      </c>
      <c r="J69">
        <v>32.46</v>
      </c>
      <c r="K69">
        <v>81.16</v>
      </c>
      <c r="L69" s="50">
        <v>127.6983886</v>
      </c>
      <c r="M69" s="50">
        <v>58.888719979999998</v>
      </c>
      <c r="N69" s="50">
        <v>-68.809668590000001</v>
      </c>
    </row>
    <row r="70" spans="1:14" ht="16" x14ac:dyDescent="0.2">
      <c r="A70" s="17">
        <v>206</v>
      </c>
      <c r="B70" t="s">
        <v>82</v>
      </c>
      <c r="C70">
        <v>1.03</v>
      </c>
      <c r="D70">
        <v>12.6</v>
      </c>
      <c r="E70">
        <v>6.03</v>
      </c>
      <c r="F70">
        <v>15.83</v>
      </c>
      <c r="G70">
        <v>11.93</v>
      </c>
      <c r="H70">
        <v>17.7</v>
      </c>
      <c r="I70">
        <v>-7.82</v>
      </c>
      <c r="J70">
        <v>20.45</v>
      </c>
      <c r="K70">
        <v>103.48</v>
      </c>
      <c r="L70" s="50">
        <v>115.6619556</v>
      </c>
      <c r="M70" s="50">
        <v>57.753100660000001</v>
      </c>
      <c r="N70" s="50">
        <v>-57.908854920000003</v>
      </c>
    </row>
    <row r="71" spans="1:14" ht="16" x14ac:dyDescent="0.2">
      <c r="A71" s="17">
        <v>903</v>
      </c>
      <c r="B71" t="s">
        <v>83</v>
      </c>
      <c r="C71">
        <v>0.6</v>
      </c>
      <c r="D71">
        <v>-3.8</v>
      </c>
      <c r="E71">
        <v>7.55</v>
      </c>
      <c r="F71">
        <v>10.4</v>
      </c>
      <c r="G71">
        <v>8.92</v>
      </c>
      <c r="H71">
        <v>19.05</v>
      </c>
      <c r="I71">
        <v>-1.1599999999999999</v>
      </c>
      <c r="J71">
        <v>26.95</v>
      </c>
      <c r="K71">
        <v>71.13</v>
      </c>
      <c r="L71" s="50">
        <v>99.466869759999994</v>
      </c>
      <c r="M71" s="50">
        <v>57.684691549999997</v>
      </c>
      <c r="N71" s="50">
        <v>-41.782178219999999</v>
      </c>
    </row>
    <row r="72" spans="1:14" ht="16" x14ac:dyDescent="0.2">
      <c r="A72" s="17">
        <v>305</v>
      </c>
      <c r="B72" t="s">
        <v>84</v>
      </c>
      <c r="C72">
        <v>0.22</v>
      </c>
      <c r="D72">
        <v>-1.2</v>
      </c>
      <c r="E72">
        <v>7.17</v>
      </c>
      <c r="F72">
        <v>10.220000000000001</v>
      </c>
      <c r="G72">
        <v>8.83</v>
      </c>
      <c r="H72">
        <v>14.1</v>
      </c>
      <c r="I72">
        <v>-1.01</v>
      </c>
      <c r="J72">
        <v>27.03</v>
      </c>
      <c r="K72">
        <v>63.27</v>
      </c>
      <c r="L72" s="50">
        <v>97.096188749999996</v>
      </c>
      <c r="M72" s="50">
        <v>17.85446915</v>
      </c>
      <c r="N72" s="50">
        <v>-79.241719599999996</v>
      </c>
    </row>
    <row r="73" spans="1:14" ht="16" x14ac:dyDescent="0.2">
      <c r="A73" s="17">
        <v>1407</v>
      </c>
      <c r="B73" t="s">
        <v>85</v>
      </c>
      <c r="C73">
        <v>0.64</v>
      </c>
      <c r="D73">
        <v>2.9</v>
      </c>
      <c r="E73">
        <v>5.84</v>
      </c>
      <c r="F73">
        <v>9.8699999999999992</v>
      </c>
      <c r="G73">
        <v>9.51</v>
      </c>
      <c r="H73">
        <v>22.18</v>
      </c>
      <c r="I73">
        <v>-5.66</v>
      </c>
      <c r="J73">
        <v>15.65</v>
      </c>
      <c r="K73">
        <v>74.540000000000006</v>
      </c>
      <c r="L73" s="50">
        <v>101.73261530000001</v>
      </c>
      <c r="M73" s="50">
        <v>54.969562160000002</v>
      </c>
      <c r="N73" s="50">
        <v>-46.763053149999998</v>
      </c>
    </row>
    <row r="74" spans="1:14" ht="16" x14ac:dyDescent="0.2">
      <c r="A74" s="17">
        <v>1703</v>
      </c>
      <c r="B74" t="s">
        <v>86</v>
      </c>
      <c r="C74">
        <v>1.03</v>
      </c>
      <c r="D74">
        <v>2.2999999999999998</v>
      </c>
      <c r="E74">
        <v>8.4600000000000009</v>
      </c>
      <c r="F74">
        <v>16.420000000000002</v>
      </c>
      <c r="G74">
        <v>10.61</v>
      </c>
      <c r="H74">
        <v>20</v>
      </c>
      <c r="I74">
        <v>-1.73</v>
      </c>
      <c r="J74">
        <v>32.92</v>
      </c>
      <c r="K74">
        <v>82.47</v>
      </c>
      <c r="L74" s="50">
        <v>127.9324534</v>
      </c>
      <c r="M74" s="50">
        <v>8.6773900499999996</v>
      </c>
      <c r="N74" s="50">
        <v>-119.2550633</v>
      </c>
    </row>
    <row r="75" spans="1:14" ht="16" x14ac:dyDescent="0.2">
      <c r="A75" s="17">
        <v>1804</v>
      </c>
      <c r="B75" t="s">
        <v>87</v>
      </c>
      <c r="C75">
        <v>0.56999999999999995</v>
      </c>
      <c r="D75">
        <v>-4.5</v>
      </c>
      <c r="E75">
        <v>9.9</v>
      </c>
      <c r="F75">
        <v>7.11</v>
      </c>
      <c r="G75">
        <v>11.15</v>
      </c>
      <c r="H75">
        <v>15.43</v>
      </c>
      <c r="I75">
        <v>-0.55000000000000004</v>
      </c>
      <c r="J75">
        <v>44.83</v>
      </c>
      <c r="K75">
        <v>64.13</v>
      </c>
      <c r="L75" s="50">
        <v>100.2259887</v>
      </c>
      <c r="M75" s="50">
        <v>21.12316384</v>
      </c>
      <c r="N75" s="50">
        <v>-79.102824859999998</v>
      </c>
    </row>
    <row r="76" spans="1:14" ht="16" x14ac:dyDescent="0.2">
      <c r="A76" s="17">
        <v>603</v>
      </c>
      <c r="B76" t="s">
        <v>88</v>
      </c>
      <c r="C76">
        <v>2.23</v>
      </c>
      <c r="D76">
        <v>1.6</v>
      </c>
      <c r="E76">
        <v>6.26</v>
      </c>
      <c r="F76">
        <v>36.33</v>
      </c>
      <c r="G76">
        <v>10.91</v>
      </c>
      <c r="H76">
        <v>10.54</v>
      </c>
      <c r="I76">
        <v>-3.97</v>
      </c>
      <c r="J76">
        <v>26.72</v>
      </c>
      <c r="K76">
        <v>119.76</v>
      </c>
      <c r="L76" s="50">
        <v>144.08446040000001</v>
      </c>
      <c r="M76" s="50">
        <v>2.3707264129999999</v>
      </c>
      <c r="N76" s="50">
        <v>-141.71373399999999</v>
      </c>
    </row>
    <row r="77" spans="1:14" ht="16" x14ac:dyDescent="0.2">
      <c r="A77" s="17">
        <v>604</v>
      </c>
      <c r="B77" t="s">
        <v>89</v>
      </c>
      <c r="C77">
        <v>0.78</v>
      </c>
      <c r="D77">
        <v>-5.0999999999999996</v>
      </c>
      <c r="E77">
        <v>4.47</v>
      </c>
      <c r="F77">
        <v>25.5</v>
      </c>
      <c r="G77">
        <v>13.16</v>
      </c>
      <c r="H77">
        <v>14.65</v>
      </c>
      <c r="I77">
        <v>-3.03</v>
      </c>
      <c r="J77">
        <v>11.19</v>
      </c>
      <c r="K77">
        <v>84.1</v>
      </c>
      <c r="L77" s="50">
        <v>104.6840061</v>
      </c>
      <c r="M77" s="50">
        <v>17.236671770000001</v>
      </c>
      <c r="N77" s="50">
        <v>-87.447334350000006</v>
      </c>
    </row>
    <row r="78" spans="1:14" ht="16" x14ac:dyDescent="0.2">
      <c r="A78" s="17">
        <v>1408</v>
      </c>
      <c r="B78" t="s">
        <v>90</v>
      </c>
      <c r="C78">
        <v>0.5</v>
      </c>
      <c r="D78">
        <v>2.4</v>
      </c>
      <c r="E78">
        <v>5.23</v>
      </c>
      <c r="F78">
        <v>15.26</v>
      </c>
      <c r="G78">
        <v>10.76</v>
      </c>
      <c r="H78">
        <v>24.45</v>
      </c>
      <c r="I78">
        <v>-4.01</v>
      </c>
      <c r="J78">
        <v>29.72</v>
      </c>
      <c r="K78">
        <v>84.96</v>
      </c>
      <c r="L78" s="50">
        <v>79.801151230000002</v>
      </c>
      <c r="M78" s="50">
        <v>83.383045530000004</v>
      </c>
      <c r="N78" s="50">
        <v>3.5818942960000002</v>
      </c>
    </row>
    <row r="79" spans="1:14" ht="16" x14ac:dyDescent="0.2">
      <c r="A79" s="17">
        <v>1409</v>
      </c>
      <c r="B79" t="s">
        <v>91</v>
      </c>
      <c r="C79">
        <v>0.38</v>
      </c>
      <c r="D79">
        <v>6.4</v>
      </c>
      <c r="E79">
        <v>6.87</v>
      </c>
      <c r="F79">
        <v>11.58</v>
      </c>
      <c r="G79">
        <v>11.3</v>
      </c>
      <c r="H79">
        <v>21.74</v>
      </c>
      <c r="I79">
        <v>-6.91</v>
      </c>
      <c r="J79">
        <v>34.090000000000003</v>
      </c>
      <c r="K79">
        <v>78.02</v>
      </c>
      <c r="L79" s="50">
        <v>107.609443</v>
      </c>
      <c r="M79" s="50">
        <v>30.52314921</v>
      </c>
      <c r="N79" s="50">
        <v>-77.086293830000002</v>
      </c>
    </row>
    <row r="80" spans="1:14" ht="16" x14ac:dyDescent="0.2">
      <c r="A80" s="17">
        <v>503</v>
      </c>
      <c r="B80" t="s">
        <v>92</v>
      </c>
      <c r="C80">
        <v>1.54</v>
      </c>
      <c r="D80">
        <v>3.9</v>
      </c>
      <c r="E80">
        <v>7.69</v>
      </c>
      <c r="F80">
        <v>19.89</v>
      </c>
      <c r="G80">
        <v>11.06</v>
      </c>
      <c r="H80">
        <v>13.33</v>
      </c>
      <c r="I80">
        <v>-4.07</v>
      </c>
      <c r="J80">
        <v>28.51</v>
      </c>
      <c r="K80">
        <v>86.9</v>
      </c>
      <c r="L80" s="50">
        <v>102.5115878</v>
      </c>
      <c r="M80" s="50">
        <v>9.9180769649999991</v>
      </c>
      <c r="N80" s="50">
        <v>-92.59351083</v>
      </c>
    </row>
    <row r="81" spans="1:14" ht="16" x14ac:dyDescent="0.2">
      <c r="A81" s="17">
        <v>1206</v>
      </c>
      <c r="B81" t="s">
        <v>93</v>
      </c>
      <c r="C81">
        <v>0.57999999999999996</v>
      </c>
      <c r="D81">
        <v>2.1</v>
      </c>
      <c r="E81">
        <v>7.44</v>
      </c>
      <c r="F81">
        <v>10.49</v>
      </c>
      <c r="G81">
        <v>10.89</v>
      </c>
      <c r="H81">
        <v>21.05</v>
      </c>
      <c r="I81">
        <v>-3.98</v>
      </c>
      <c r="J81">
        <v>37.5</v>
      </c>
      <c r="K81">
        <v>73.69</v>
      </c>
      <c r="L81" s="50">
        <v>134.4019729</v>
      </c>
      <c r="M81" s="50">
        <v>184.53452530000001</v>
      </c>
      <c r="N81" s="50">
        <v>50.132552400000002</v>
      </c>
    </row>
    <row r="82" spans="1:14" ht="16" x14ac:dyDescent="0.2">
      <c r="A82" s="17">
        <v>207</v>
      </c>
      <c r="B82" t="s">
        <v>94</v>
      </c>
      <c r="C82">
        <v>0.74</v>
      </c>
      <c r="D82">
        <v>29.4</v>
      </c>
      <c r="E82">
        <v>6.75</v>
      </c>
      <c r="F82">
        <v>14.38</v>
      </c>
      <c r="G82">
        <v>9.56</v>
      </c>
      <c r="H82">
        <v>18.97</v>
      </c>
      <c r="I82">
        <v>-11.18</v>
      </c>
      <c r="J82">
        <v>43.19</v>
      </c>
      <c r="K82">
        <v>73.66</v>
      </c>
      <c r="L82" s="50">
        <v>138.32199550000001</v>
      </c>
      <c r="M82" s="50">
        <v>89.240362809999993</v>
      </c>
      <c r="N82" s="50">
        <v>-49.081632650000003</v>
      </c>
    </row>
    <row r="83" spans="1:14" ht="16" x14ac:dyDescent="0.2">
      <c r="A83" s="17">
        <v>1207</v>
      </c>
      <c r="B83" t="s">
        <v>95</v>
      </c>
      <c r="C83">
        <v>0.72</v>
      </c>
      <c r="D83">
        <v>2.4</v>
      </c>
      <c r="E83">
        <v>10.84</v>
      </c>
      <c r="F83">
        <v>15.35</v>
      </c>
      <c r="G83">
        <v>17.29</v>
      </c>
      <c r="H83">
        <v>32.01</v>
      </c>
      <c r="I83">
        <v>-3.3</v>
      </c>
      <c r="J83">
        <v>70.69</v>
      </c>
      <c r="K83">
        <v>90.03</v>
      </c>
      <c r="L83" s="50">
        <v>123.7822905</v>
      </c>
      <c r="M83" s="50">
        <v>17.49091262</v>
      </c>
      <c r="N83" s="50">
        <v>-106.2913779</v>
      </c>
    </row>
    <row r="84" spans="1:14" ht="16" x14ac:dyDescent="0.2">
      <c r="A84" s="17">
        <v>1410</v>
      </c>
      <c r="B84" t="s">
        <v>96</v>
      </c>
      <c r="C84">
        <v>4.95</v>
      </c>
      <c r="D84">
        <v>12.8</v>
      </c>
      <c r="E84">
        <v>6.46</v>
      </c>
      <c r="F84">
        <v>23.48</v>
      </c>
      <c r="G84">
        <v>12.16</v>
      </c>
      <c r="H84">
        <v>21.6</v>
      </c>
      <c r="I84">
        <v>-3.95</v>
      </c>
      <c r="J84">
        <v>27.21</v>
      </c>
      <c r="K84">
        <v>99.08</v>
      </c>
      <c r="L84" s="50">
        <v>90.486905730000004</v>
      </c>
      <c r="M84" s="50">
        <v>12.702638</v>
      </c>
      <c r="N84" s="50">
        <v>-77.784267729999996</v>
      </c>
    </row>
    <row r="85" spans="1:14" ht="16" x14ac:dyDescent="0.2">
      <c r="A85" s="17">
        <v>107</v>
      </c>
      <c r="B85" t="s">
        <v>97</v>
      </c>
      <c r="C85">
        <v>0.76</v>
      </c>
      <c r="D85">
        <v>0.3</v>
      </c>
      <c r="E85">
        <v>10.07</v>
      </c>
      <c r="F85">
        <v>21.2</v>
      </c>
      <c r="G85">
        <v>10.98</v>
      </c>
      <c r="H85">
        <v>12.16</v>
      </c>
      <c r="I85">
        <v>-2.72</v>
      </c>
      <c r="J85">
        <v>38.39</v>
      </c>
      <c r="K85">
        <v>95.89</v>
      </c>
      <c r="L85" s="50">
        <v>111.64122140000001</v>
      </c>
      <c r="M85" s="50">
        <v>13.79643766</v>
      </c>
      <c r="N85" s="50">
        <v>-97.844783719999995</v>
      </c>
    </row>
    <row r="86" spans="1:14" ht="16" x14ac:dyDescent="0.2">
      <c r="A86" s="17">
        <v>306</v>
      </c>
      <c r="B86" t="s">
        <v>98</v>
      </c>
      <c r="C86">
        <v>1.02</v>
      </c>
      <c r="D86">
        <v>1.9</v>
      </c>
      <c r="E86">
        <v>5.17</v>
      </c>
      <c r="F86">
        <v>20.21</v>
      </c>
      <c r="G86">
        <v>12.3</v>
      </c>
      <c r="H86">
        <v>17.41</v>
      </c>
      <c r="I86">
        <v>-1.83</v>
      </c>
      <c r="J86">
        <v>4.6500000000000004</v>
      </c>
      <c r="K86">
        <v>86.82</v>
      </c>
      <c r="L86" s="50">
        <v>134.72299939999999</v>
      </c>
      <c r="M86" s="50">
        <v>8.2786793509999992</v>
      </c>
      <c r="N86" s="50">
        <v>-126.4443201</v>
      </c>
    </row>
    <row r="87" spans="1:14" ht="16" x14ac:dyDescent="0.2">
      <c r="A87" s="17">
        <v>108</v>
      </c>
      <c r="B87" t="s">
        <v>99</v>
      </c>
      <c r="C87">
        <v>0.96</v>
      </c>
      <c r="D87">
        <v>-0.1</v>
      </c>
      <c r="E87">
        <v>6.24</v>
      </c>
      <c r="F87">
        <v>14.24</v>
      </c>
      <c r="G87">
        <v>10.87</v>
      </c>
      <c r="H87">
        <v>18.88</v>
      </c>
      <c r="I87">
        <v>-2.19</v>
      </c>
      <c r="J87">
        <v>34.659999999999997</v>
      </c>
      <c r="K87">
        <v>86.21</v>
      </c>
      <c r="L87" s="50">
        <v>100.8517374</v>
      </c>
      <c r="M87" s="50">
        <v>12.98183463</v>
      </c>
      <c r="N87" s="50">
        <v>-87.869902769999996</v>
      </c>
    </row>
    <row r="88" spans="1:14" ht="16" x14ac:dyDescent="0.2">
      <c r="A88" s="17">
        <v>704</v>
      </c>
      <c r="B88" t="s">
        <v>100</v>
      </c>
      <c r="C88">
        <v>0.68</v>
      </c>
      <c r="D88">
        <v>7.4</v>
      </c>
      <c r="E88">
        <v>5.32</v>
      </c>
      <c r="F88">
        <v>14.93</v>
      </c>
      <c r="G88">
        <v>13.54</v>
      </c>
      <c r="H88">
        <v>20.61</v>
      </c>
      <c r="I88">
        <v>-3.4</v>
      </c>
      <c r="J88">
        <v>41.61</v>
      </c>
      <c r="K88">
        <v>95.72</v>
      </c>
      <c r="L88" s="50">
        <v>141.15151990000001</v>
      </c>
      <c r="M88" s="50">
        <v>35.942973840000001</v>
      </c>
      <c r="N88" s="50">
        <v>-105.20854610000001</v>
      </c>
    </row>
    <row r="89" spans="1:14" ht="16" x14ac:dyDescent="0.2">
      <c r="A89" s="17">
        <v>705</v>
      </c>
      <c r="B89" t="s">
        <v>101</v>
      </c>
      <c r="C89">
        <v>1.66</v>
      </c>
      <c r="D89">
        <v>0</v>
      </c>
      <c r="E89">
        <v>6.28</v>
      </c>
      <c r="F89">
        <v>26.35</v>
      </c>
      <c r="G89">
        <v>13.81</v>
      </c>
      <c r="H89">
        <v>16.64</v>
      </c>
      <c r="I89">
        <v>-7.46</v>
      </c>
      <c r="J89">
        <v>25.39</v>
      </c>
      <c r="K89">
        <v>111.98</v>
      </c>
      <c r="L89" s="50">
        <v>132.1059372</v>
      </c>
      <c r="M89" s="50">
        <v>6.7071880630000003</v>
      </c>
      <c r="N89" s="50">
        <v>-125.3987491</v>
      </c>
    </row>
    <row r="90" spans="1:14" ht="16" x14ac:dyDescent="0.2">
      <c r="A90" s="17">
        <v>307</v>
      </c>
      <c r="B90" t="s">
        <v>102</v>
      </c>
      <c r="C90">
        <v>0.77</v>
      </c>
      <c r="D90">
        <v>0.9</v>
      </c>
      <c r="E90">
        <v>8.34</v>
      </c>
      <c r="F90">
        <v>13.98</v>
      </c>
      <c r="G90">
        <v>9.68</v>
      </c>
      <c r="H90">
        <v>17.64</v>
      </c>
      <c r="I90">
        <v>-1.8</v>
      </c>
      <c r="J90">
        <v>13.42</v>
      </c>
      <c r="K90">
        <v>76.86</v>
      </c>
      <c r="L90" s="50">
        <v>105.11516349999999</v>
      </c>
      <c r="M90" s="50">
        <v>7.6619939629999996</v>
      </c>
      <c r="N90" s="50">
        <v>-97.453169579999994</v>
      </c>
    </row>
    <row r="91" spans="1:14" ht="16" x14ac:dyDescent="0.2">
      <c r="A91" s="17">
        <v>805</v>
      </c>
      <c r="B91" t="s">
        <v>103</v>
      </c>
      <c r="C91">
        <v>1.32</v>
      </c>
      <c r="D91">
        <v>1.3</v>
      </c>
      <c r="E91">
        <v>8.76</v>
      </c>
      <c r="F91">
        <v>27.08</v>
      </c>
      <c r="G91">
        <v>14.72</v>
      </c>
      <c r="H91">
        <v>19.600000000000001</v>
      </c>
      <c r="I91">
        <v>-3.92</v>
      </c>
      <c r="J91">
        <v>34.19</v>
      </c>
      <c r="K91">
        <v>116.01</v>
      </c>
      <c r="L91" s="50">
        <v>160.02298880000001</v>
      </c>
      <c r="M91" s="50">
        <v>4.6372625589999998</v>
      </c>
      <c r="N91" s="50">
        <v>-155.38572629999999</v>
      </c>
    </row>
    <row r="92" spans="1:14" ht="16" x14ac:dyDescent="0.2">
      <c r="A92" s="17">
        <v>1303</v>
      </c>
      <c r="B92" t="s">
        <v>104</v>
      </c>
      <c r="C92">
        <v>0.55000000000000004</v>
      </c>
      <c r="D92">
        <v>2.4</v>
      </c>
      <c r="E92">
        <v>7.29</v>
      </c>
      <c r="F92">
        <v>10.73</v>
      </c>
      <c r="G92">
        <v>12.88</v>
      </c>
      <c r="H92">
        <v>18.77</v>
      </c>
      <c r="I92">
        <v>-1.63</v>
      </c>
      <c r="J92">
        <v>19.190000000000001</v>
      </c>
      <c r="K92">
        <v>81.209999999999994</v>
      </c>
      <c r="L92" s="50">
        <v>118.87734930000001</v>
      </c>
      <c r="M92" s="50">
        <v>5.3857764039999996</v>
      </c>
      <c r="N92" s="50">
        <v>-113.49157289999999</v>
      </c>
    </row>
    <row r="93" spans="1:14" ht="16" x14ac:dyDescent="0.2">
      <c r="A93" s="17">
        <v>208</v>
      </c>
      <c r="B93" t="s">
        <v>105</v>
      </c>
      <c r="C93">
        <v>2.57</v>
      </c>
      <c r="D93">
        <v>11.3</v>
      </c>
      <c r="E93">
        <v>7.53</v>
      </c>
      <c r="F93">
        <v>10.83</v>
      </c>
      <c r="G93">
        <v>11.21</v>
      </c>
      <c r="H93">
        <v>20.6</v>
      </c>
      <c r="I93">
        <v>-8.65</v>
      </c>
      <c r="J93">
        <v>32.14</v>
      </c>
      <c r="K93">
        <v>74.930000000000007</v>
      </c>
      <c r="L93" s="50">
        <v>139.10158240000001</v>
      </c>
      <c r="M93" s="50">
        <v>57.117151610000001</v>
      </c>
      <c r="N93" s="50">
        <v>-81.984430829999994</v>
      </c>
    </row>
    <row r="94" spans="1:14" ht="16" x14ac:dyDescent="0.2">
      <c r="A94" s="17">
        <v>1411</v>
      </c>
      <c r="B94" t="s">
        <v>106</v>
      </c>
      <c r="C94">
        <v>0.56000000000000005</v>
      </c>
      <c r="D94">
        <v>3.5</v>
      </c>
      <c r="E94">
        <v>4.4000000000000004</v>
      </c>
      <c r="F94">
        <v>10.34</v>
      </c>
      <c r="G94">
        <v>8.93</v>
      </c>
      <c r="H94">
        <v>20.14</v>
      </c>
      <c r="I94">
        <v>-0.93</v>
      </c>
      <c r="J94">
        <v>11.05</v>
      </c>
      <c r="K94">
        <v>74.06</v>
      </c>
      <c r="L94" s="50">
        <v>104.1534358</v>
      </c>
      <c r="M94" s="50">
        <v>58.24971421</v>
      </c>
      <c r="N94" s="50">
        <v>-45.903721580000003</v>
      </c>
    </row>
    <row r="95" spans="1:14" ht="16" x14ac:dyDescent="0.2">
      <c r="A95" s="17">
        <v>605</v>
      </c>
      <c r="B95" t="s">
        <v>107</v>
      </c>
      <c r="C95">
        <v>1.91</v>
      </c>
      <c r="D95">
        <v>0</v>
      </c>
      <c r="E95">
        <v>8.1300000000000008</v>
      </c>
      <c r="F95">
        <v>19.829999999999998</v>
      </c>
      <c r="G95">
        <v>13.31</v>
      </c>
      <c r="H95">
        <v>17.71</v>
      </c>
      <c r="I95">
        <v>-2.96</v>
      </c>
      <c r="J95">
        <v>30.16</v>
      </c>
      <c r="K95">
        <v>94.79</v>
      </c>
      <c r="L95" s="50">
        <v>115.8676183</v>
      </c>
      <c r="M95" s="50">
        <v>6.3477206920000002</v>
      </c>
      <c r="N95" s="50">
        <v>-109.51989759999999</v>
      </c>
    </row>
    <row r="96" spans="1:14" ht="16" x14ac:dyDescent="0.2">
      <c r="A96" s="17">
        <v>904</v>
      </c>
      <c r="B96" t="s">
        <v>108</v>
      </c>
      <c r="C96">
        <v>-0.01</v>
      </c>
      <c r="D96">
        <v>14.9</v>
      </c>
      <c r="E96">
        <v>8.27</v>
      </c>
      <c r="F96">
        <v>10.52</v>
      </c>
      <c r="G96">
        <v>9.7899999999999991</v>
      </c>
      <c r="H96">
        <v>18.21</v>
      </c>
      <c r="I96">
        <v>-1.32</v>
      </c>
      <c r="J96">
        <v>55.69</v>
      </c>
      <c r="K96">
        <v>69.77</v>
      </c>
      <c r="L96" s="50">
        <v>173.47740669999999</v>
      </c>
      <c r="M96" s="50">
        <v>80.017681730000007</v>
      </c>
      <c r="N96" s="50">
        <v>-93.459724949999995</v>
      </c>
    </row>
    <row r="97" spans="1:14" ht="16" x14ac:dyDescent="0.2">
      <c r="A97" s="17">
        <v>1008</v>
      </c>
      <c r="B97" t="s">
        <v>109</v>
      </c>
      <c r="C97">
        <v>0.4</v>
      </c>
      <c r="D97">
        <v>-4</v>
      </c>
      <c r="E97">
        <v>6.45</v>
      </c>
      <c r="F97">
        <v>10.54</v>
      </c>
      <c r="G97">
        <v>8.76</v>
      </c>
      <c r="H97">
        <v>15.97</v>
      </c>
      <c r="I97">
        <v>-0.09</v>
      </c>
      <c r="J97">
        <v>25.8</v>
      </c>
      <c r="K97">
        <v>71.5</v>
      </c>
      <c r="L97" s="50">
        <v>119.08831910000001</v>
      </c>
      <c r="M97" s="50">
        <v>92.142450139999994</v>
      </c>
      <c r="N97" s="50">
        <v>-26.945868950000001</v>
      </c>
    </row>
    <row r="98" spans="1:14" ht="16" x14ac:dyDescent="0.2">
      <c r="A98" s="17">
        <v>905</v>
      </c>
      <c r="B98" t="s">
        <v>110</v>
      </c>
      <c r="C98">
        <v>0.08</v>
      </c>
      <c r="D98">
        <v>14.3</v>
      </c>
      <c r="E98">
        <v>6.63</v>
      </c>
      <c r="F98">
        <v>9.7100000000000009</v>
      </c>
      <c r="G98">
        <v>9</v>
      </c>
      <c r="H98">
        <v>15.93</v>
      </c>
      <c r="I98">
        <v>-1.06</v>
      </c>
      <c r="J98">
        <v>22.13</v>
      </c>
      <c r="K98">
        <v>64.69</v>
      </c>
      <c r="L98" s="50">
        <v>108.16926909999999</v>
      </c>
      <c r="M98" s="50">
        <v>92.360262500000005</v>
      </c>
      <c r="N98" s="50">
        <v>-15.80900656</v>
      </c>
    </row>
    <row r="99" spans="1:14" ht="16" x14ac:dyDescent="0.2">
      <c r="A99" s="17">
        <v>404</v>
      </c>
      <c r="B99" t="s">
        <v>111</v>
      </c>
      <c r="C99">
        <v>0.57999999999999996</v>
      </c>
      <c r="D99">
        <v>9.6</v>
      </c>
      <c r="E99">
        <v>7.52</v>
      </c>
      <c r="F99">
        <v>7.94</v>
      </c>
      <c r="G99">
        <v>10.36</v>
      </c>
      <c r="H99">
        <v>20.62</v>
      </c>
      <c r="I99">
        <v>-1.85</v>
      </c>
      <c r="J99">
        <v>48.21</v>
      </c>
      <c r="K99">
        <v>68.260000000000005</v>
      </c>
      <c r="L99" s="50">
        <v>198.75968990000001</v>
      </c>
      <c r="M99" s="50">
        <v>143.8449612</v>
      </c>
      <c r="N99" s="50">
        <v>-54.914728680000003</v>
      </c>
    </row>
    <row r="100" spans="1:14" ht="16" x14ac:dyDescent="0.2">
      <c r="A100" s="17">
        <v>1208</v>
      </c>
      <c r="B100" t="s">
        <v>112</v>
      </c>
      <c r="C100">
        <v>1.1499999999999999</v>
      </c>
      <c r="D100">
        <v>4</v>
      </c>
      <c r="E100">
        <v>6.28</v>
      </c>
      <c r="F100">
        <v>12.14</v>
      </c>
      <c r="G100">
        <v>9.02</v>
      </c>
      <c r="H100">
        <v>20.010000000000002</v>
      </c>
      <c r="I100">
        <v>-4.3499999999999996</v>
      </c>
      <c r="J100">
        <v>11.36</v>
      </c>
      <c r="K100">
        <v>76.22</v>
      </c>
      <c r="L100" s="50">
        <v>145.27599050000001</v>
      </c>
      <c r="M100" s="50">
        <v>168.93328819999999</v>
      </c>
      <c r="N100" s="50">
        <v>23.657297660000001</v>
      </c>
    </row>
    <row r="101" spans="1:14" ht="16" x14ac:dyDescent="0.2">
      <c r="A101" s="17">
        <v>504</v>
      </c>
      <c r="B101" t="s">
        <v>113</v>
      </c>
      <c r="C101">
        <v>0.82</v>
      </c>
      <c r="D101">
        <v>0.4</v>
      </c>
      <c r="E101">
        <v>6.45</v>
      </c>
      <c r="F101">
        <v>15.14</v>
      </c>
      <c r="G101">
        <v>11.09</v>
      </c>
      <c r="H101">
        <v>19.28</v>
      </c>
      <c r="I101">
        <v>-2.36</v>
      </c>
      <c r="J101">
        <v>32.520000000000003</v>
      </c>
      <c r="K101">
        <v>79.83</v>
      </c>
      <c r="L101" s="50">
        <v>121.3883677</v>
      </c>
      <c r="M101" s="50">
        <v>15.56510319</v>
      </c>
      <c r="N101" s="50">
        <v>-105.82326449999999</v>
      </c>
    </row>
    <row r="102" spans="1:14" ht="16" x14ac:dyDescent="0.2">
      <c r="A102" s="17">
        <v>1209</v>
      </c>
      <c r="B102" t="s">
        <v>114</v>
      </c>
      <c r="C102">
        <v>0.03</v>
      </c>
      <c r="D102">
        <v>7.1</v>
      </c>
      <c r="E102">
        <v>7.71</v>
      </c>
      <c r="F102">
        <v>7.69</v>
      </c>
      <c r="G102">
        <v>7</v>
      </c>
      <c r="H102">
        <v>17.22</v>
      </c>
      <c r="I102">
        <v>-2.65</v>
      </c>
      <c r="J102">
        <v>22.99</v>
      </c>
      <c r="K102">
        <v>70.87</v>
      </c>
      <c r="L102" s="50">
        <v>89.026915110000004</v>
      </c>
      <c r="M102" s="50">
        <v>190.0591541</v>
      </c>
      <c r="N102" s="50">
        <v>101.032239</v>
      </c>
    </row>
    <row r="103" spans="1:14" ht="16" x14ac:dyDescent="0.2">
      <c r="A103" s="17">
        <v>606</v>
      </c>
      <c r="B103" t="s">
        <v>115</v>
      </c>
      <c r="C103">
        <v>0.18</v>
      </c>
      <c r="D103">
        <v>0.1</v>
      </c>
      <c r="E103">
        <v>5.78</v>
      </c>
      <c r="F103">
        <v>9.56</v>
      </c>
      <c r="G103">
        <v>7.89</v>
      </c>
      <c r="H103">
        <v>12.79</v>
      </c>
      <c r="I103">
        <v>-0.09</v>
      </c>
      <c r="J103">
        <v>19.59</v>
      </c>
      <c r="K103">
        <v>68.33</v>
      </c>
      <c r="L103" s="50">
        <v>116.6358106</v>
      </c>
      <c r="M103" s="50">
        <v>142.43057390000001</v>
      </c>
      <c r="N103" s="50">
        <v>25.794763289999999</v>
      </c>
    </row>
    <row r="104" spans="1:14" ht="16" x14ac:dyDescent="0.2">
      <c r="A104" s="17">
        <v>1412</v>
      </c>
      <c r="B104" t="s">
        <v>116</v>
      </c>
      <c r="C104">
        <v>1.38</v>
      </c>
      <c r="D104">
        <v>8.6999999999999993</v>
      </c>
      <c r="E104">
        <v>4.54</v>
      </c>
      <c r="F104">
        <v>14.72</v>
      </c>
      <c r="G104">
        <v>13.25</v>
      </c>
      <c r="H104">
        <v>22.26</v>
      </c>
      <c r="I104">
        <v>-6.93</v>
      </c>
      <c r="J104">
        <v>17.420000000000002</v>
      </c>
      <c r="K104">
        <v>84.11</v>
      </c>
      <c r="L104" s="50">
        <v>111.4402073</v>
      </c>
      <c r="M104" s="50">
        <v>87.134394670000006</v>
      </c>
      <c r="N104" s="50">
        <v>-24.305812660000001</v>
      </c>
    </row>
    <row r="105" spans="1:14" ht="16" x14ac:dyDescent="0.2">
      <c r="A105" s="17">
        <v>1304</v>
      </c>
      <c r="B105" t="s">
        <v>117</v>
      </c>
      <c r="C105">
        <v>0.79</v>
      </c>
      <c r="D105">
        <v>-3.7</v>
      </c>
      <c r="E105">
        <v>10.97</v>
      </c>
      <c r="F105">
        <v>17.86</v>
      </c>
      <c r="G105">
        <v>12.34</v>
      </c>
      <c r="H105">
        <v>15.27</v>
      </c>
      <c r="I105">
        <v>-3.86</v>
      </c>
      <c r="J105">
        <v>43.86</v>
      </c>
      <c r="K105">
        <v>85.87</v>
      </c>
      <c r="L105" s="50">
        <v>97.286856799999995</v>
      </c>
      <c r="M105" s="50">
        <v>1.9962577340000001</v>
      </c>
      <c r="N105" s="50">
        <v>-95.290599060000005</v>
      </c>
    </row>
    <row r="106" spans="1:14" ht="16" x14ac:dyDescent="0.2">
      <c r="A106" s="17">
        <v>906</v>
      </c>
      <c r="B106" t="s">
        <v>118</v>
      </c>
      <c r="C106">
        <v>0.44</v>
      </c>
      <c r="D106">
        <v>-3.2</v>
      </c>
      <c r="E106">
        <v>6.84</v>
      </c>
      <c r="F106">
        <v>12.64</v>
      </c>
      <c r="G106">
        <v>8.14</v>
      </c>
      <c r="H106">
        <v>14.76</v>
      </c>
      <c r="I106">
        <v>-1.63</v>
      </c>
      <c r="J106">
        <v>32.119999999999997</v>
      </c>
      <c r="K106">
        <v>69.599999999999994</v>
      </c>
      <c r="L106" s="50">
        <v>104.9276784</v>
      </c>
      <c r="M106" s="50">
        <v>40.895644359999999</v>
      </c>
      <c r="N106" s="50">
        <v>-64.032033999999996</v>
      </c>
    </row>
    <row r="107" spans="1:14" ht="16" x14ac:dyDescent="0.2">
      <c r="A107" s="17">
        <v>1505</v>
      </c>
      <c r="B107" t="s">
        <v>119</v>
      </c>
      <c r="C107">
        <v>2.33</v>
      </c>
      <c r="D107">
        <v>8.4</v>
      </c>
      <c r="E107">
        <v>6.37</v>
      </c>
      <c r="F107">
        <v>11.63</v>
      </c>
      <c r="G107">
        <v>11.73</v>
      </c>
      <c r="H107">
        <v>18.100000000000001</v>
      </c>
      <c r="I107">
        <v>-12.09</v>
      </c>
      <c r="J107">
        <v>20.86</v>
      </c>
      <c r="K107">
        <v>95.38</v>
      </c>
      <c r="L107" s="50">
        <v>147.3909936</v>
      </c>
      <c r="M107" s="50">
        <v>28.127948530000001</v>
      </c>
      <c r="N107" s="50">
        <v>-119.26304500000001</v>
      </c>
    </row>
    <row r="108" spans="1:14" ht="16" x14ac:dyDescent="0.2">
      <c r="A108" s="17">
        <v>907</v>
      </c>
      <c r="B108" t="s">
        <v>120</v>
      </c>
      <c r="C108">
        <v>0.75</v>
      </c>
      <c r="D108">
        <v>0.8</v>
      </c>
      <c r="E108">
        <v>6.47</v>
      </c>
      <c r="F108">
        <v>24.37</v>
      </c>
      <c r="G108">
        <v>10.95</v>
      </c>
      <c r="H108">
        <v>18.03</v>
      </c>
      <c r="I108">
        <v>-1.49</v>
      </c>
      <c r="J108">
        <v>30.45</v>
      </c>
      <c r="K108">
        <v>95.28</v>
      </c>
      <c r="L108" s="50">
        <v>119.4160002</v>
      </c>
      <c r="M108" s="50">
        <v>8.3005705459999994</v>
      </c>
      <c r="N108" s="50">
        <v>-111.11542970000001</v>
      </c>
    </row>
    <row r="109" spans="1:14" ht="16" x14ac:dyDescent="0.2">
      <c r="A109" s="17">
        <v>308</v>
      </c>
      <c r="B109" t="s">
        <v>121</v>
      </c>
      <c r="C109">
        <v>1.18</v>
      </c>
      <c r="D109">
        <v>-1</v>
      </c>
      <c r="E109">
        <v>7.4</v>
      </c>
      <c r="F109">
        <v>16.09</v>
      </c>
      <c r="G109">
        <v>11.92</v>
      </c>
      <c r="H109">
        <v>15.47</v>
      </c>
      <c r="I109">
        <v>-2.77</v>
      </c>
      <c r="J109">
        <v>9.66</v>
      </c>
      <c r="K109">
        <v>89.31</v>
      </c>
      <c r="L109" s="50">
        <v>104.56392820000001</v>
      </c>
      <c r="M109" s="50">
        <v>2.3111676289999998</v>
      </c>
      <c r="N109" s="50">
        <v>-102.2527606</v>
      </c>
    </row>
    <row r="110" spans="1:14" ht="16" x14ac:dyDescent="0.2">
      <c r="A110" s="17">
        <v>505</v>
      </c>
      <c r="B110" t="s">
        <v>122</v>
      </c>
      <c r="C110">
        <v>0.48</v>
      </c>
      <c r="D110">
        <v>11.5</v>
      </c>
      <c r="E110">
        <v>7.11</v>
      </c>
      <c r="F110">
        <v>9.73</v>
      </c>
      <c r="G110">
        <v>11.16</v>
      </c>
      <c r="H110">
        <v>22.06</v>
      </c>
      <c r="I110">
        <v>-2.6</v>
      </c>
      <c r="J110">
        <v>52.09</v>
      </c>
      <c r="K110">
        <v>68.47</v>
      </c>
      <c r="L110" s="50">
        <v>117.3250833</v>
      </c>
      <c r="M110" s="50">
        <v>62.817705850000003</v>
      </c>
      <c r="N110" s="50">
        <v>-54.507377439999999</v>
      </c>
    </row>
    <row r="111" spans="1:14" ht="16" x14ac:dyDescent="0.2">
      <c r="A111" s="17">
        <v>110</v>
      </c>
      <c r="B111" t="s">
        <v>123</v>
      </c>
      <c r="C111">
        <v>1.8</v>
      </c>
      <c r="D111">
        <v>6.5</v>
      </c>
      <c r="E111">
        <v>6.34</v>
      </c>
      <c r="F111">
        <v>22.31</v>
      </c>
      <c r="G111">
        <v>14.36</v>
      </c>
      <c r="H111">
        <v>19.649999999999999</v>
      </c>
      <c r="I111">
        <v>-2.19</v>
      </c>
      <c r="J111">
        <v>23.75</v>
      </c>
      <c r="K111">
        <v>87.92</v>
      </c>
      <c r="L111" s="50">
        <v>109.3381055</v>
      </c>
      <c r="M111" s="50">
        <v>7.6534188350000001</v>
      </c>
      <c r="N111" s="50">
        <v>-101.6846867</v>
      </c>
    </row>
    <row r="112" spans="1:14" ht="16" x14ac:dyDescent="0.2">
      <c r="A112" s="17">
        <v>806</v>
      </c>
      <c r="B112" t="s">
        <v>124</v>
      </c>
      <c r="C112">
        <v>2.2599999999999998</v>
      </c>
      <c r="D112">
        <v>-4.2</v>
      </c>
      <c r="E112">
        <v>13.76</v>
      </c>
      <c r="F112">
        <v>15.92</v>
      </c>
      <c r="G112">
        <v>18.600000000000001</v>
      </c>
      <c r="H112">
        <v>29.32</v>
      </c>
      <c r="I112">
        <v>-3.67</v>
      </c>
      <c r="J112">
        <v>29.81</v>
      </c>
      <c r="K112">
        <v>91.4</v>
      </c>
      <c r="L112" s="50">
        <v>175.14124290000001</v>
      </c>
      <c r="M112" s="50">
        <v>12.859754069999999</v>
      </c>
      <c r="N112" s="50">
        <v>-162.2814889</v>
      </c>
    </row>
    <row r="113" spans="1:14" ht="16" x14ac:dyDescent="0.2">
      <c r="A113" s="17">
        <v>807</v>
      </c>
      <c r="B113" t="s">
        <v>125</v>
      </c>
      <c r="C113">
        <v>2.85</v>
      </c>
      <c r="D113">
        <v>1</v>
      </c>
      <c r="E113">
        <v>11.98</v>
      </c>
      <c r="F113">
        <v>18.760000000000002</v>
      </c>
      <c r="G113">
        <v>16.55</v>
      </c>
      <c r="H113">
        <v>22.9</v>
      </c>
      <c r="I113">
        <v>-3.66</v>
      </c>
      <c r="J113">
        <v>19.41</v>
      </c>
      <c r="K113">
        <v>94.37</v>
      </c>
      <c r="L113" s="50">
        <v>178.7213769</v>
      </c>
      <c r="M113" s="50">
        <v>9.0706607510000001</v>
      </c>
      <c r="N113" s="50">
        <v>-169.65071610000001</v>
      </c>
    </row>
    <row r="114" spans="1:14" ht="16" x14ac:dyDescent="0.2">
      <c r="A114" s="17">
        <v>1805</v>
      </c>
      <c r="B114" t="s">
        <v>126</v>
      </c>
      <c r="C114">
        <v>0.53</v>
      </c>
      <c r="D114">
        <v>2.7</v>
      </c>
      <c r="E114">
        <v>10.25</v>
      </c>
      <c r="F114">
        <v>17.28</v>
      </c>
      <c r="G114">
        <v>13.27</v>
      </c>
      <c r="H114">
        <v>17.190000000000001</v>
      </c>
      <c r="I114">
        <v>-1.51</v>
      </c>
      <c r="J114">
        <v>34.25</v>
      </c>
      <c r="K114">
        <v>83.6</v>
      </c>
      <c r="L114" s="50">
        <v>136.6018736</v>
      </c>
      <c r="M114" s="50">
        <v>13.50955388</v>
      </c>
      <c r="N114" s="50">
        <v>-123.0923198</v>
      </c>
    </row>
    <row r="115" spans="1:14" ht="16" x14ac:dyDescent="0.2">
      <c r="A115" s="17">
        <v>1009</v>
      </c>
      <c r="B115" t="s">
        <v>127</v>
      </c>
      <c r="C115">
        <v>2.63</v>
      </c>
      <c r="D115">
        <v>0.8</v>
      </c>
      <c r="E115">
        <v>4.87</v>
      </c>
      <c r="F115">
        <v>22.81</v>
      </c>
      <c r="G115">
        <v>12</v>
      </c>
      <c r="H115">
        <v>16.98</v>
      </c>
      <c r="I115">
        <v>-1.32</v>
      </c>
      <c r="J115">
        <v>13.87</v>
      </c>
      <c r="K115">
        <v>105.73</v>
      </c>
      <c r="L115" s="50">
        <v>136.3968299</v>
      </c>
      <c r="M115" s="50">
        <v>2.468656556</v>
      </c>
      <c r="N115" s="50">
        <v>-133.92817339999999</v>
      </c>
    </row>
    <row r="116" spans="1:14" ht="16" x14ac:dyDescent="0.2">
      <c r="A116" s="17">
        <v>1106</v>
      </c>
      <c r="B116" t="s">
        <v>128</v>
      </c>
      <c r="C116">
        <v>4.84</v>
      </c>
      <c r="D116">
        <v>-8.9</v>
      </c>
      <c r="E116">
        <v>8.43</v>
      </c>
      <c r="F116">
        <v>43.97</v>
      </c>
      <c r="G116">
        <v>10.01</v>
      </c>
      <c r="H116">
        <v>10.35</v>
      </c>
      <c r="I116">
        <v>-3.48</v>
      </c>
      <c r="J116">
        <v>48.71</v>
      </c>
      <c r="K116">
        <v>186.34</v>
      </c>
      <c r="L116" s="50">
        <v>222.75072779999999</v>
      </c>
      <c r="M116" s="50">
        <v>0.68053703300000001</v>
      </c>
      <c r="N116" s="50">
        <v>-222.07019080000001</v>
      </c>
    </row>
    <row r="117" spans="1:14" ht="16" x14ac:dyDescent="0.2">
      <c r="A117" s="17">
        <v>808</v>
      </c>
      <c r="B117" t="s">
        <v>129</v>
      </c>
      <c r="C117">
        <v>2.71</v>
      </c>
      <c r="D117">
        <v>7.5</v>
      </c>
      <c r="E117">
        <v>11.42</v>
      </c>
      <c r="F117">
        <v>17.32</v>
      </c>
      <c r="G117">
        <v>14.74</v>
      </c>
      <c r="H117">
        <v>25.58</v>
      </c>
      <c r="I117">
        <v>-2.13</v>
      </c>
      <c r="J117">
        <v>24.4</v>
      </c>
      <c r="K117">
        <v>115.41</v>
      </c>
      <c r="L117" s="50">
        <v>190.97644589999999</v>
      </c>
      <c r="M117" s="50">
        <v>4.0476058830000001</v>
      </c>
      <c r="N117" s="50">
        <v>-186.92884000000001</v>
      </c>
    </row>
    <row r="118" spans="1:14" ht="16" x14ac:dyDescent="0.2">
      <c r="A118" s="17">
        <v>1107</v>
      </c>
      <c r="B118" t="s">
        <v>130</v>
      </c>
      <c r="C118">
        <v>3.6</v>
      </c>
      <c r="D118">
        <v>1.6</v>
      </c>
      <c r="E118">
        <v>9.11</v>
      </c>
      <c r="F118">
        <v>22.35</v>
      </c>
      <c r="G118">
        <v>10.93</v>
      </c>
      <c r="H118">
        <v>16.21</v>
      </c>
      <c r="I118">
        <v>-6.13</v>
      </c>
      <c r="J118">
        <v>29.17</v>
      </c>
      <c r="K118">
        <v>102.3</v>
      </c>
      <c r="L118" s="50">
        <v>105.74688829999999</v>
      </c>
      <c r="M118" s="50">
        <v>1.5731052139999999</v>
      </c>
      <c r="N118" s="50">
        <v>-104.17378309999999</v>
      </c>
    </row>
    <row r="119" spans="1:14" ht="16" x14ac:dyDescent="0.2">
      <c r="A119" s="17">
        <v>1108</v>
      </c>
      <c r="B119" t="s">
        <v>131</v>
      </c>
      <c r="C119">
        <v>1.61</v>
      </c>
      <c r="D119">
        <v>5.2</v>
      </c>
      <c r="E119">
        <v>6.26</v>
      </c>
      <c r="F119">
        <v>14.82</v>
      </c>
      <c r="G119">
        <v>14.14</v>
      </c>
      <c r="H119">
        <v>22.91</v>
      </c>
      <c r="I119">
        <v>-1.4</v>
      </c>
      <c r="J119">
        <v>20.97</v>
      </c>
      <c r="K119">
        <v>85.34</v>
      </c>
      <c r="L119" s="50">
        <v>137.0340176</v>
      </c>
      <c r="M119" s="50">
        <v>13.09160305</v>
      </c>
      <c r="N119" s="50">
        <v>-123.94241460000001</v>
      </c>
    </row>
    <row r="120" spans="1:14" ht="16" x14ac:dyDescent="0.2">
      <c r="A120" s="17">
        <v>607</v>
      </c>
      <c r="B120" t="s">
        <v>132</v>
      </c>
      <c r="C120">
        <v>1.1100000000000001</v>
      </c>
      <c r="D120">
        <v>-4.2</v>
      </c>
      <c r="E120">
        <v>6.59</v>
      </c>
      <c r="F120">
        <v>17.87</v>
      </c>
      <c r="G120">
        <v>11.66</v>
      </c>
      <c r="H120">
        <v>14.99</v>
      </c>
      <c r="I120">
        <v>-2.16</v>
      </c>
      <c r="J120">
        <v>28.57</v>
      </c>
      <c r="K120">
        <v>84.39</v>
      </c>
      <c r="L120" s="50">
        <v>110.1981352</v>
      </c>
      <c r="M120" s="50">
        <v>19.400349649999999</v>
      </c>
      <c r="N120" s="50">
        <v>-90.79778555</v>
      </c>
    </row>
    <row r="121" spans="1:14" ht="16" x14ac:dyDescent="0.2">
      <c r="A121" s="17">
        <v>1305</v>
      </c>
      <c r="B121" t="s">
        <v>133</v>
      </c>
      <c r="C121">
        <v>0.36</v>
      </c>
      <c r="D121">
        <v>0.5</v>
      </c>
      <c r="E121">
        <v>7.63</v>
      </c>
      <c r="F121">
        <v>10.85</v>
      </c>
      <c r="G121">
        <v>12.57</v>
      </c>
      <c r="H121">
        <v>18.46</v>
      </c>
      <c r="I121">
        <v>-1.26</v>
      </c>
      <c r="J121">
        <v>22.54</v>
      </c>
      <c r="K121">
        <v>74.56</v>
      </c>
      <c r="L121" s="50">
        <v>99.981103950000005</v>
      </c>
      <c r="M121" s="50">
        <v>5.5923911899999998</v>
      </c>
      <c r="N121" s="50">
        <v>-94.388712760000004</v>
      </c>
    </row>
    <row r="122" spans="1:14" ht="16" x14ac:dyDescent="0.2">
      <c r="A122" s="17">
        <v>1413</v>
      </c>
      <c r="B122" t="s">
        <v>134</v>
      </c>
      <c r="C122">
        <v>0.72</v>
      </c>
      <c r="D122">
        <v>6.6</v>
      </c>
      <c r="E122">
        <v>5.6</v>
      </c>
      <c r="F122">
        <v>10.79</v>
      </c>
      <c r="G122">
        <v>5.85</v>
      </c>
      <c r="H122">
        <v>17.45</v>
      </c>
      <c r="I122">
        <v>-0.52</v>
      </c>
      <c r="J122">
        <v>17.489999999999998</v>
      </c>
      <c r="K122">
        <v>71.47</v>
      </c>
      <c r="L122" s="50">
        <v>101.7369727</v>
      </c>
      <c r="M122" s="50">
        <v>84.799937970000002</v>
      </c>
      <c r="N122" s="50">
        <v>-16.937034740000001</v>
      </c>
    </row>
    <row r="123" spans="1:14" ht="16" x14ac:dyDescent="0.2">
      <c r="A123" s="17">
        <v>405</v>
      </c>
      <c r="B123" t="s">
        <v>135</v>
      </c>
      <c r="C123">
        <v>0.34</v>
      </c>
      <c r="D123">
        <v>-1.5</v>
      </c>
      <c r="E123">
        <v>7.41</v>
      </c>
      <c r="F123">
        <v>14.76</v>
      </c>
      <c r="G123">
        <v>6.78</v>
      </c>
      <c r="H123">
        <v>15.52</v>
      </c>
      <c r="I123">
        <v>-0.88</v>
      </c>
      <c r="J123">
        <v>33.39</v>
      </c>
      <c r="K123">
        <v>76.790000000000006</v>
      </c>
      <c r="L123" s="50">
        <v>223.05357520000001</v>
      </c>
      <c r="M123" s="50">
        <v>26.639373190000001</v>
      </c>
      <c r="N123" s="50">
        <v>-196.41420199999999</v>
      </c>
    </row>
    <row r="124" spans="1:14" ht="16" x14ac:dyDescent="0.2">
      <c r="A124" s="17">
        <v>1109</v>
      </c>
      <c r="B124" t="s">
        <v>136</v>
      </c>
      <c r="C124">
        <v>2.11</v>
      </c>
      <c r="D124">
        <v>1.5</v>
      </c>
      <c r="E124">
        <v>6.23</v>
      </c>
      <c r="F124">
        <v>25.23</v>
      </c>
      <c r="G124">
        <v>14.68</v>
      </c>
      <c r="H124">
        <v>17.21</v>
      </c>
      <c r="I124">
        <v>-2.76</v>
      </c>
      <c r="J124">
        <v>11.62</v>
      </c>
      <c r="K124">
        <v>102.88</v>
      </c>
      <c r="L124" s="50">
        <v>133.79056199999999</v>
      </c>
      <c r="M124" s="50">
        <v>2.9842699700000002</v>
      </c>
      <c r="N124" s="50">
        <v>-130.80629200000001</v>
      </c>
    </row>
    <row r="125" spans="1:14" ht="16" x14ac:dyDescent="0.2">
      <c r="A125" s="17">
        <v>1306</v>
      </c>
      <c r="B125" t="s">
        <v>137</v>
      </c>
      <c r="C125">
        <v>0.83</v>
      </c>
      <c r="D125">
        <v>-3.6</v>
      </c>
      <c r="E125">
        <v>8.6999999999999993</v>
      </c>
      <c r="F125">
        <v>27.54</v>
      </c>
      <c r="G125">
        <v>11.78</v>
      </c>
      <c r="H125">
        <v>13.45</v>
      </c>
      <c r="I125">
        <v>-2.4500000000000002</v>
      </c>
      <c r="J125">
        <v>30.89</v>
      </c>
      <c r="K125">
        <v>108.68</v>
      </c>
      <c r="L125" s="50">
        <v>122.1628693</v>
      </c>
      <c r="M125" s="50">
        <v>2.0824884629999998</v>
      </c>
      <c r="N125" s="50">
        <v>-120.0803808</v>
      </c>
    </row>
    <row r="126" spans="1:14" ht="16" x14ac:dyDescent="0.2">
      <c r="A126" s="17">
        <v>1806</v>
      </c>
      <c r="B126" t="s">
        <v>138</v>
      </c>
      <c r="C126">
        <v>1.17</v>
      </c>
      <c r="D126">
        <v>2.9</v>
      </c>
      <c r="E126">
        <v>7.94</v>
      </c>
      <c r="F126">
        <v>13.03</v>
      </c>
      <c r="G126">
        <v>10.6</v>
      </c>
      <c r="H126">
        <v>20.66</v>
      </c>
      <c r="I126">
        <v>-0.95</v>
      </c>
      <c r="J126">
        <v>28.66</v>
      </c>
      <c r="K126">
        <v>85.37</v>
      </c>
      <c r="L126" s="50">
        <v>106.72474819999999</v>
      </c>
      <c r="M126" s="50">
        <v>20.57609583</v>
      </c>
      <c r="N126" s="50">
        <v>-86.148652330000004</v>
      </c>
    </row>
    <row r="127" spans="1:14" ht="16" x14ac:dyDescent="0.2">
      <c r="A127" s="17">
        <v>908</v>
      </c>
      <c r="B127" t="s">
        <v>139</v>
      </c>
      <c r="C127">
        <v>0.89</v>
      </c>
      <c r="D127">
        <v>15.6</v>
      </c>
      <c r="E127">
        <v>9.1199999999999992</v>
      </c>
      <c r="F127">
        <v>12.19</v>
      </c>
      <c r="G127">
        <v>9.31</v>
      </c>
      <c r="H127">
        <v>16.97</v>
      </c>
      <c r="I127">
        <v>-1.44</v>
      </c>
      <c r="J127">
        <v>20.99</v>
      </c>
      <c r="K127">
        <v>71.56</v>
      </c>
      <c r="L127" s="50">
        <v>101.9993223</v>
      </c>
      <c r="M127" s="50">
        <v>186.3029482</v>
      </c>
      <c r="N127" s="50">
        <v>84.303625890000006</v>
      </c>
    </row>
    <row r="128" spans="1:14" ht="16" x14ac:dyDescent="0.2">
      <c r="A128" s="17">
        <v>1307</v>
      </c>
      <c r="B128" t="s">
        <v>140</v>
      </c>
      <c r="C128">
        <v>0.6</v>
      </c>
      <c r="D128">
        <v>4.0999999999999996</v>
      </c>
      <c r="E128">
        <v>9.3000000000000007</v>
      </c>
      <c r="F128">
        <v>10.85</v>
      </c>
      <c r="G128">
        <v>11.99</v>
      </c>
      <c r="H128">
        <v>15.58</v>
      </c>
      <c r="I128">
        <v>-1.17</v>
      </c>
      <c r="J128">
        <v>43.63</v>
      </c>
      <c r="K128">
        <v>75.5</v>
      </c>
      <c r="L128" s="50">
        <v>92.413570410000005</v>
      </c>
      <c r="M128" s="50">
        <v>5.4295747639999998</v>
      </c>
      <c r="N128" s="50">
        <v>-86.983995640000003</v>
      </c>
    </row>
    <row r="129" spans="1:14" ht="16" x14ac:dyDescent="0.2">
      <c r="A129" s="17">
        <v>1010</v>
      </c>
      <c r="B129" t="s">
        <v>141</v>
      </c>
      <c r="C129">
        <v>2.56</v>
      </c>
      <c r="D129">
        <v>-3.3</v>
      </c>
      <c r="E129">
        <v>6.47</v>
      </c>
      <c r="F129">
        <v>16.82</v>
      </c>
      <c r="G129">
        <v>11.91</v>
      </c>
      <c r="H129">
        <v>18.62</v>
      </c>
      <c r="I129">
        <v>-6.16</v>
      </c>
      <c r="J129">
        <v>21.01</v>
      </c>
      <c r="K129">
        <v>92.69</v>
      </c>
      <c r="L129" s="50">
        <v>115.8948749</v>
      </c>
      <c r="M129" s="50">
        <v>9.7946933010000006</v>
      </c>
      <c r="N129" s="50">
        <v>-106.1001816</v>
      </c>
    </row>
    <row r="130" spans="1:14" ht="16" x14ac:dyDescent="0.2">
      <c r="A130" s="17">
        <v>1210</v>
      </c>
      <c r="B130" t="s">
        <v>142</v>
      </c>
      <c r="C130">
        <v>0.9</v>
      </c>
      <c r="D130">
        <v>-9.9</v>
      </c>
      <c r="E130">
        <v>5.67</v>
      </c>
      <c r="F130">
        <v>13.23</v>
      </c>
      <c r="G130">
        <v>8.76</v>
      </c>
      <c r="H130">
        <v>15.65</v>
      </c>
      <c r="I130">
        <v>-1.91</v>
      </c>
      <c r="J130">
        <v>24.01</v>
      </c>
      <c r="K130">
        <v>69.31</v>
      </c>
      <c r="L130" s="50">
        <v>155.0993809</v>
      </c>
      <c r="M130" s="50">
        <v>162.55457799999999</v>
      </c>
      <c r="N130" s="50">
        <v>7.4551971330000004</v>
      </c>
    </row>
    <row r="131" spans="1:14" ht="16" x14ac:dyDescent="0.2">
      <c r="A131" s="17">
        <v>1308</v>
      </c>
      <c r="B131" t="s">
        <v>143</v>
      </c>
      <c r="C131">
        <v>1.0900000000000001</v>
      </c>
      <c r="D131">
        <v>-5</v>
      </c>
      <c r="E131">
        <v>10.02</v>
      </c>
      <c r="F131">
        <v>26.34</v>
      </c>
      <c r="G131">
        <v>11.13</v>
      </c>
      <c r="H131">
        <v>12.94</v>
      </c>
      <c r="I131">
        <v>-2.75</v>
      </c>
      <c r="J131">
        <v>38.92</v>
      </c>
      <c r="K131">
        <v>118.06</v>
      </c>
      <c r="L131" s="50">
        <v>124.6593069</v>
      </c>
      <c r="M131" s="50">
        <v>1.9331898030000001</v>
      </c>
      <c r="N131" s="50">
        <v>-122.7261171</v>
      </c>
    </row>
    <row r="132" spans="1:14" ht="16" x14ac:dyDescent="0.2">
      <c r="A132" s="17">
        <v>111</v>
      </c>
      <c r="B132" t="s">
        <v>144</v>
      </c>
      <c r="C132">
        <v>0.92</v>
      </c>
      <c r="D132">
        <v>1.5</v>
      </c>
      <c r="E132">
        <v>4.8099999999999996</v>
      </c>
      <c r="F132">
        <v>18.5</v>
      </c>
      <c r="G132">
        <v>12.5</v>
      </c>
      <c r="H132">
        <v>15.58</v>
      </c>
      <c r="I132">
        <v>-2.82</v>
      </c>
      <c r="J132">
        <v>8.52</v>
      </c>
      <c r="K132">
        <v>88.79</v>
      </c>
      <c r="L132" s="50">
        <v>124.02783460000001</v>
      </c>
      <c r="M132" s="50">
        <v>18.531006959999999</v>
      </c>
      <c r="N132" s="50">
        <v>-105.4968277</v>
      </c>
    </row>
    <row r="133" spans="1:14" ht="16" x14ac:dyDescent="0.2">
      <c r="A133" s="17">
        <v>909</v>
      </c>
      <c r="B133" t="s">
        <v>145</v>
      </c>
      <c r="C133">
        <v>0.14000000000000001</v>
      </c>
      <c r="D133">
        <v>0.1</v>
      </c>
      <c r="E133">
        <v>5.66</v>
      </c>
      <c r="F133">
        <v>11.03</v>
      </c>
      <c r="G133">
        <v>8.89</v>
      </c>
      <c r="H133">
        <v>15.13</v>
      </c>
      <c r="I133">
        <v>-0.8</v>
      </c>
      <c r="J133">
        <v>20.02</v>
      </c>
      <c r="K133">
        <v>68</v>
      </c>
      <c r="L133" s="50">
        <v>179.3926247</v>
      </c>
      <c r="M133" s="50">
        <v>97.815618220000005</v>
      </c>
      <c r="N133" s="50">
        <v>-81.577006510000004</v>
      </c>
    </row>
    <row r="134" spans="1:14" ht="16" x14ac:dyDescent="0.2">
      <c r="A134" s="17">
        <v>1603</v>
      </c>
      <c r="B134" t="s">
        <v>146</v>
      </c>
      <c r="C134">
        <v>0.53</v>
      </c>
      <c r="D134">
        <v>16</v>
      </c>
      <c r="E134">
        <v>4.5999999999999996</v>
      </c>
      <c r="F134">
        <v>9.9600000000000009</v>
      </c>
      <c r="G134">
        <v>6.82</v>
      </c>
      <c r="H134">
        <v>14.67</v>
      </c>
      <c r="I134">
        <v>-0.56000000000000005</v>
      </c>
      <c r="J134">
        <v>8.5</v>
      </c>
      <c r="K134">
        <v>64.010000000000005</v>
      </c>
      <c r="L134" s="50">
        <v>163.2653061</v>
      </c>
      <c r="M134" s="50">
        <v>43.347198749999997</v>
      </c>
      <c r="N134" s="50">
        <v>-119.9181074</v>
      </c>
    </row>
    <row r="135" spans="1:14" ht="16" x14ac:dyDescent="0.2">
      <c r="A135" s="17">
        <v>209</v>
      </c>
      <c r="B135" t="s">
        <v>147</v>
      </c>
      <c r="C135">
        <v>1.08</v>
      </c>
      <c r="D135">
        <v>0.1</v>
      </c>
      <c r="E135">
        <v>6.67</v>
      </c>
      <c r="F135">
        <v>9.39</v>
      </c>
      <c r="G135">
        <v>9.27</v>
      </c>
      <c r="H135">
        <v>14.69</v>
      </c>
      <c r="I135">
        <v>-6.08</v>
      </c>
      <c r="J135">
        <v>27.91</v>
      </c>
      <c r="K135">
        <v>68.89</v>
      </c>
      <c r="L135" s="50">
        <v>129.6207393</v>
      </c>
      <c r="M135" s="50">
        <v>85.021603459999994</v>
      </c>
      <c r="N135" s="50">
        <v>-44.599135859999997</v>
      </c>
    </row>
    <row r="136" spans="1:14" ht="16" x14ac:dyDescent="0.2">
      <c r="A136" s="17">
        <v>1704</v>
      </c>
      <c r="B136" t="s">
        <v>148</v>
      </c>
      <c r="C136">
        <v>0.03</v>
      </c>
      <c r="D136">
        <v>-2.4</v>
      </c>
      <c r="E136">
        <v>8.3800000000000008</v>
      </c>
      <c r="F136">
        <v>9.1300000000000008</v>
      </c>
      <c r="G136">
        <v>11.98</v>
      </c>
      <c r="H136">
        <v>15.56</v>
      </c>
      <c r="I136">
        <v>-0.62</v>
      </c>
      <c r="J136">
        <v>49.91</v>
      </c>
      <c r="K136">
        <v>69.09</v>
      </c>
      <c r="L136" s="50">
        <v>176.98614649999999</v>
      </c>
      <c r="M136" s="50">
        <v>100.49194230000001</v>
      </c>
      <c r="N136" s="50">
        <v>-76.49420413</v>
      </c>
    </row>
    <row r="137" spans="1:14" ht="16" x14ac:dyDescent="0.2">
      <c r="A137" s="17">
        <v>608</v>
      </c>
      <c r="B137" t="s">
        <v>149</v>
      </c>
      <c r="C137">
        <v>1.43</v>
      </c>
      <c r="D137">
        <v>-5.9</v>
      </c>
      <c r="E137">
        <v>5.76</v>
      </c>
      <c r="F137">
        <v>18.079999999999998</v>
      </c>
      <c r="G137">
        <v>10.47</v>
      </c>
      <c r="H137">
        <v>18</v>
      </c>
      <c r="I137">
        <v>-0.79</v>
      </c>
      <c r="J137">
        <v>16.04</v>
      </c>
      <c r="K137">
        <v>77.08</v>
      </c>
      <c r="L137" s="50">
        <v>119.4870957</v>
      </c>
      <c r="M137" s="50">
        <v>30.013884350000001</v>
      </c>
      <c r="N137" s="50">
        <v>-89.473211370000001</v>
      </c>
    </row>
    <row r="138" spans="1:14" ht="16" x14ac:dyDescent="0.2">
      <c r="A138" s="17">
        <v>609</v>
      </c>
      <c r="B138" t="s">
        <v>150</v>
      </c>
      <c r="C138">
        <v>0.76</v>
      </c>
      <c r="D138">
        <v>0.8</v>
      </c>
      <c r="E138">
        <v>5.37</v>
      </c>
      <c r="F138">
        <v>14.51</v>
      </c>
      <c r="G138">
        <v>9.84</v>
      </c>
      <c r="H138">
        <v>13.83</v>
      </c>
      <c r="I138">
        <v>-1.9</v>
      </c>
      <c r="J138">
        <v>15.84</v>
      </c>
      <c r="K138">
        <v>73.709999999999994</v>
      </c>
      <c r="L138" s="50">
        <v>111.51615580000001</v>
      </c>
      <c r="M138" s="50">
        <v>29.555923780000001</v>
      </c>
      <c r="N138" s="50">
        <v>-81.960231980000003</v>
      </c>
    </row>
    <row r="139" spans="1:14" ht="16" x14ac:dyDescent="0.2">
      <c r="A139" s="17">
        <v>406</v>
      </c>
      <c r="B139" t="s">
        <v>151</v>
      </c>
      <c r="C139">
        <v>0.5</v>
      </c>
      <c r="D139">
        <v>3.9</v>
      </c>
      <c r="E139">
        <v>5.67</v>
      </c>
      <c r="F139">
        <v>12.98</v>
      </c>
      <c r="G139">
        <v>8.5399999999999991</v>
      </c>
      <c r="H139">
        <v>12.81</v>
      </c>
      <c r="I139">
        <v>-0.65</v>
      </c>
      <c r="J139">
        <v>19.57</v>
      </c>
      <c r="K139">
        <v>75.239999999999995</v>
      </c>
      <c r="L139" s="50">
        <v>201.34438019999999</v>
      </c>
      <c r="M139" s="50">
        <v>60.475222760000001</v>
      </c>
      <c r="N139" s="50">
        <v>-140.86915740000001</v>
      </c>
    </row>
    <row r="140" spans="1:14" ht="16" x14ac:dyDescent="0.2">
      <c r="A140" s="17">
        <v>407</v>
      </c>
      <c r="B140" t="s">
        <v>152</v>
      </c>
      <c r="C140">
        <v>0.68</v>
      </c>
      <c r="D140">
        <v>3</v>
      </c>
      <c r="E140">
        <v>9.36</v>
      </c>
      <c r="F140">
        <v>17.260000000000002</v>
      </c>
      <c r="G140">
        <v>11.86</v>
      </c>
      <c r="H140">
        <v>21.5</v>
      </c>
      <c r="I140">
        <v>-1.73</v>
      </c>
      <c r="J140">
        <v>28.69</v>
      </c>
      <c r="K140">
        <v>85.07</v>
      </c>
      <c r="L140" s="50">
        <v>168.18224430000001</v>
      </c>
      <c r="M140" s="50">
        <v>16.860410609999999</v>
      </c>
      <c r="N140" s="50">
        <v>-151.32183370000001</v>
      </c>
    </row>
    <row r="141" spans="1:14" ht="16" x14ac:dyDescent="0.2">
      <c r="A141" s="17">
        <v>408</v>
      </c>
      <c r="B141" t="s">
        <v>153</v>
      </c>
      <c r="C141">
        <v>0.28000000000000003</v>
      </c>
      <c r="D141">
        <v>-2.5</v>
      </c>
      <c r="E141">
        <v>7.68</v>
      </c>
      <c r="F141">
        <v>13.68</v>
      </c>
      <c r="G141">
        <v>8.9499999999999993</v>
      </c>
      <c r="H141">
        <v>21.07</v>
      </c>
      <c r="I141">
        <v>-0.22</v>
      </c>
      <c r="J141">
        <v>32.6</v>
      </c>
      <c r="K141">
        <v>70.47</v>
      </c>
      <c r="L141" s="50">
        <v>232.21605980000001</v>
      </c>
      <c r="M141" s="50">
        <v>51.053773810000003</v>
      </c>
      <c r="N141" s="50">
        <v>-181.16228599999999</v>
      </c>
    </row>
    <row r="142" spans="1:14" ht="16" x14ac:dyDescent="0.2">
      <c r="A142" s="17">
        <v>1807</v>
      </c>
      <c r="B142" t="s">
        <v>154</v>
      </c>
      <c r="C142">
        <v>1.1100000000000001</v>
      </c>
      <c r="D142">
        <v>6</v>
      </c>
      <c r="E142">
        <v>7.73</v>
      </c>
      <c r="F142">
        <v>12.87</v>
      </c>
      <c r="G142">
        <v>13.06</v>
      </c>
      <c r="H142">
        <v>19.899999999999999</v>
      </c>
      <c r="I142">
        <v>-1.02</v>
      </c>
      <c r="J142">
        <v>60.58</v>
      </c>
      <c r="K142">
        <v>72.760000000000005</v>
      </c>
      <c r="L142" s="50">
        <v>138.76605599999999</v>
      </c>
      <c r="M142" s="50">
        <v>37.420509580000001</v>
      </c>
      <c r="N142" s="50">
        <v>-101.3455464</v>
      </c>
    </row>
    <row r="143" spans="1:14" ht="16" x14ac:dyDescent="0.2">
      <c r="A143" s="17">
        <v>1506</v>
      </c>
      <c r="B143" t="s">
        <v>155</v>
      </c>
      <c r="C143">
        <v>3.57</v>
      </c>
      <c r="D143">
        <v>4.7</v>
      </c>
      <c r="E143">
        <v>12.05</v>
      </c>
      <c r="F143">
        <v>14.28</v>
      </c>
      <c r="G143">
        <v>11.9</v>
      </c>
      <c r="H143">
        <v>20.8</v>
      </c>
      <c r="I143">
        <v>-11.55</v>
      </c>
      <c r="J143">
        <v>58.33</v>
      </c>
      <c r="K143">
        <v>82.3</v>
      </c>
      <c r="L143" s="50">
        <v>74.180168890000004</v>
      </c>
      <c r="M143" s="50">
        <v>5.3892519319999996</v>
      </c>
      <c r="N143" s="50">
        <v>-68.790916960000004</v>
      </c>
    </row>
    <row r="144" spans="1:14" ht="16" x14ac:dyDescent="0.2">
      <c r="A144" s="17">
        <v>1604</v>
      </c>
      <c r="B144" t="s">
        <v>156</v>
      </c>
      <c r="C144">
        <v>1.77</v>
      </c>
      <c r="D144">
        <v>0</v>
      </c>
      <c r="E144">
        <v>5.35</v>
      </c>
      <c r="F144">
        <v>13.22</v>
      </c>
      <c r="G144">
        <v>10.46</v>
      </c>
      <c r="H144">
        <v>18.96</v>
      </c>
      <c r="I144">
        <v>-0.49</v>
      </c>
      <c r="J144">
        <v>9.3800000000000008</v>
      </c>
      <c r="K144">
        <v>75.06</v>
      </c>
      <c r="L144" s="50">
        <v>173.9276515</v>
      </c>
      <c r="M144" s="50">
        <v>21.114346510000001</v>
      </c>
      <c r="N144" s="50">
        <v>-152.81330500000001</v>
      </c>
    </row>
    <row r="145" spans="1:14" ht="16" x14ac:dyDescent="0.2">
      <c r="A145" s="17">
        <v>809</v>
      </c>
      <c r="B145" t="s">
        <v>157</v>
      </c>
      <c r="C145">
        <v>1.1100000000000001</v>
      </c>
      <c r="D145">
        <v>2</v>
      </c>
      <c r="E145">
        <v>7.74</v>
      </c>
      <c r="F145">
        <v>12.58</v>
      </c>
      <c r="G145">
        <v>6.95</v>
      </c>
      <c r="H145">
        <v>15.99</v>
      </c>
      <c r="I145">
        <v>-3.11</v>
      </c>
      <c r="J145">
        <v>15.9</v>
      </c>
      <c r="K145">
        <v>65.709999999999994</v>
      </c>
      <c r="L145" s="50">
        <v>144.56942649999999</v>
      </c>
      <c r="M145" s="50">
        <v>86.669740000000004</v>
      </c>
      <c r="N145" s="50">
        <v>-57.899686520000003</v>
      </c>
    </row>
    <row r="146" spans="1:14" ht="16" x14ac:dyDescent="0.2">
      <c r="A146" s="17">
        <v>1705</v>
      </c>
      <c r="B146" t="s">
        <v>158</v>
      </c>
      <c r="C146">
        <v>0.28999999999999998</v>
      </c>
      <c r="D146">
        <v>0.5</v>
      </c>
      <c r="E146">
        <v>9.19</v>
      </c>
      <c r="F146">
        <v>9.81</v>
      </c>
      <c r="G146">
        <v>9.8699999999999992</v>
      </c>
      <c r="H146">
        <v>15.06</v>
      </c>
      <c r="I146">
        <v>-0.32</v>
      </c>
      <c r="J146">
        <v>32.43</v>
      </c>
      <c r="K146">
        <v>64.63</v>
      </c>
      <c r="L146" s="50">
        <v>114.1524106</v>
      </c>
      <c r="M146" s="50">
        <v>55.363919129999999</v>
      </c>
      <c r="N146" s="50">
        <v>-58.788491450000002</v>
      </c>
    </row>
    <row r="147" spans="1:14" ht="16" x14ac:dyDescent="0.2">
      <c r="A147" s="17">
        <v>1211</v>
      </c>
      <c r="B147" t="s">
        <v>159</v>
      </c>
      <c r="C147">
        <v>0.6</v>
      </c>
      <c r="D147">
        <v>1.7</v>
      </c>
      <c r="E147">
        <v>7.9</v>
      </c>
      <c r="F147">
        <v>10.8</v>
      </c>
      <c r="G147">
        <v>9.33</v>
      </c>
      <c r="H147">
        <v>24.32</v>
      </c>
      <c r="I147">
        <v>-7.65</v>
      </c>
      <c r="J147">
        <v>133.93</v>
      </c>
      <c r="K147">
        <v>71.58</v>
      </c>
      <c r="L147" s="50">
        <v>101.46373920000001</v>
      </c>
      <c r="M147" s="50">
        <v>153.14703929999999</v>
      </c>
      <c r="N147" s="50">
        <v>51.683300070000001</v>
      </c>
    </row>
    <row r="148" spans="1:14" ht="16" x14ac:dyDescent="0.2">
      <c r="A148" s="17">
        <v>1706</v>
      </c>
      <c r="B148" t="s">
        <v>160</v>
      </c>
      <c r="C148">
        <v>0.18</v>
      </c>
      <c r="D148">
        <v>-12.8</v>
      </c>
      <c r="E148">
        <v>7.25</v>
      </c>
      <c r="F148">
        <v>8.8699999999999992</v>
      </c>
      <c r="G148">
        <v>7.18</v>
      </c>
      <c r="H148">
        <v>12.61</v>
      </c>
      <c r="I148">
        <v>-0.45</v>
      </c>
      <c r="J148">
        <v>24.8</v>
      </c>
      <c r="K148">
        <v>65.06</v>
      </c>
      <c r="L148" s="50">
        <v>185.136897</v>
      </c>
      <c r="M148" s="50">
        <v>52.855280309999998</v>
      </c>
      <c r="N148" s="50">
        <v>-132.2816167</v>
      </c>
    </row>
    <row r="149" spans="1:14" ht="16" x14ac:dyDescent="0.2">
      <c r="A149" s="17">
        <v>706</v>
      </c>
      <c r="B149" t="s">
        <v>161</v>
      </c>
      <c r="C149">
        <v>1.5</v>
      </c>
      <c r="D149">
        <v>10.1</v>
      </c>
      <c r="E149">
        <v>4.9000000000000004</v>
      </c>
      <c r="F149">
        <v>15.14</v>
      </c>
      <c r="G149">
        <v>9.58</v>
      </c>
      <c r="H149">
        <v>13.7</v>
      </c>
      <c r="I149">
        <v>-9.07</v>
      </c>
      <c r="J149">
        <v>13.16</v>
      </c>
      <c r="K149">
        <v>88.63</v>
      </c>
      <c r="L149" s="50">
        <v>140.29496309999999</v>
      </c>
      <c r="M149" s="50">
        <v>29.556930380000001</v>
      </c>
      <c r="N149" s="50">
        <v>-110.73803270000001</v>
      </c>
    </row>
    <row r="150" spans="1:14" ht="16" x14ac:dyDescent="0.2">
      <c r="A150" s="17">
        <v>610</v>
      </c>
      <c r="B150" t="s">
        <v>162</v>
      </c>
      <c r="C150">
        <v>0.65</v>
      </c>
      <c r="D150">
        <v>-3.8</v>
      </c>
      <c r="E150">
        <v>5.29</v>
      </c>
      <c r="F150">
        <v>16.940000000000001</v>
      </c>
      <c r="G150">
        <v>13.5</v>
      </c>
      <c r="H150">
        <v>19.22</v>
      </c>
      <c r="I150">
        <v>-2.94</v>
      </c>
      <c r="J150">
        <v>12.53</v>
      </c>
      <c r="K150">
        <v>75.569999999999993</v>
      </c>
      <c r="L150" s="50">
        <v>111.1650485</v>
      </c>
      <c r="M150" s="50">
        <v>14.719660190000001</v>
      </c>
      <c r="N150" s="50">
        <v>-96.445388350000002</v>
      </c>
    </row>
    <row r="151" spans="1:14" ht="16" x14ac:dyDescent="0.2">
      <c r="A151" s="17">
        <v>1507</v>
      </c>
      <c r="B151" t="s">
        <v>163</v>
      </c>
      <c r="C151">
        <v>2.65</v>
      </c>
      <c r="D151">
        <v>-3.2</v>
      </c>
      <c r="E151">
        <v>9.2100000000000009</v>
      </c>
      <c r="F151">
        <v>22.84</v>
      </c>
      <c r="G151">
        <v>15.58</v>
      </c>
      <c r="H151">
        <v>22.16</v>
      </c>
      <c r="I151">
        <v>-6.02</v>
      </c>
      <c r="J151">
        <v>39.04</v>
      </c>
      <c r="K151">
        <v>102.53</v>
      </c>
      <c r="L151" s="50">
        <v>107.7923219</v>
      </c>
      <c r="M151" s="50">
        <v>4.8916805759999997</v>
      </c>
      <c r="N151" s="50">
        <v>-102.9006413</v>
      </c>
    </row>
    <row r="152" spans="1:14" ht="16" x14ac:dyDescent="0.2">
      <c r="A152" s="17">
        <v>707</v>
      </c>
      <c r="B152" t="s">
        <v>164</v>
      </c>
      <c r="C152">
        <v>0.49</v>
      </c>
      <c r="D152">
        <v>4.4000000000000004</v>
      </c>
      <c r="E152">
        <v>7.07</v>
      </c>
      <c r="F152">
        <v>10.43</v>
      </c>
      <c r="G152">
        <v>8.1199999999999992</v>
      </c>
      <c r="H152">
        <v>13.56</v>
      </c>
      <c r="I152">
        <v>-11.71</v>
      </c>
      <c r="J152">
        <v>11.96</v>
      </c>
      <c r="K152">
        <v>80.19</v>
      </c>
      <c r="L152" s="50">
        <v>110.5539637</v>
      </c>
      <c r="M152" s="50">
        <v>147.69340969999999</v>
      </c>
      <c r="N152" s="50">
        <v>37.139446040000003</v>
      </c>
    </row>
    <row r="153" spans="1:14" ht="16" x14ac:dyDescent="0.2">
      <c r="A153" s="17">
        <v>1808</v>
      </c>
      <c r="B153" t="s">
        <v>165</v>
      </c>
      <c r="C153">
        <v>1.31</v>
      </c>
      <c r="D153">
        <v>3.7</v>
      </c>
      <c r="E153">
        <v>4.1100000000000003</v>
      </c>
      <c r="F153">
        <v>12.73</v>
      </c>
      <c r="G153">
        <v>9.08</v>
      </c>
      <c r="H153">
        <v>13.76</v>
      </c>
      <c r="I153">
        <v>-0.45</v>
      </c>
      <c r="J153">
        <v>9.7100000000000009</v>
      </c>
      <c r="K153">
        <v>80.180000000000007</v>
      </c>
      <c r="L153" s="50">
        <v>142.15958269999999</v>
      </c>
      <c r="M153" s="50">
        <v>48.85695261</v>
      </c>
      <c r="N153" s="50">
        <v>-93.302630120000003</v>
      </c>
    </row>
    <row r="154" spans="1:14" ht="16" x14ac:dyDescent="0.2">
      <c r="A154" s="17">
        <v>210</v>
      </c>
      <c r="B154" t="s">
        <v>166</v>
      </c>
      <c r="C154">
        <v>0.21</v>
      </c>
      <c r="D154">
        <v>9.5</v>
      </c>
      <c r="E154">
        <v>16.510000000000002</v>
      </c>
      <c r="F154">
        <v>11.02</v>
      </c>
      <c r="G154">
        <v>17.350000000000001</v>
      </c>
      <c r="H154">
        <v>25.77</v>
      </c>
      <c r="I154">
        <v>-8.1300000000000008</v>
      </c>
      <c r="J154">
        <v>126.43</v>
      </c>
      <c r="K154">
        <v>75.97</v>
      </c>
      <c r="L154" s="50">
        <v>149.1135817</v>
      </c>
      <c r="M154" s="50">
        <v>30.40564904</v>
      </c>
      <c r="N154" s="50">
        <v>-118.7079327</v>
      </c>
    </row>
    <row r="155" spans="1:14" ht="16" x14ac:dyDescent="0.2">
      <c r="A155" s="17">
        <v>708</v>
      </c>
      <c r="B155" t="s">
        <v>167</v>
      </c>
      <c r="C155">
        <v>0.16</v>
      </c>
      <c r="D155">
        <v>46</v>
      </c>
      <c r="E155">
        <v>13.38</v>
      </c>
      <c r="F155">
        <v>8.7899999999999991</v>
      </c>
      <c r="G155">
        <v>14.21</v>
      </c>
      <c r="H155">
        <v>25.6</v>
      </c>
      <c r="I155">
        <v>-5.54</v>
      </c>
      <c r="J155">
        <v>142.59</v>
      </c>
      <c r="K155">
        <v>71.150000000000006</v>
      </c>
      <c r="L155" s="50">
        <v>123.2704403</v>
      </c>
      <c r="M155" s="50">
        <v>164.05031450000001</v>
      </c>
      <c r="N155" s="50">
        <v>40.779874210000003</v>
      </c>
    </row>
    <row r="156" spans="1:14" ht="16" x14ac:dyDescent="0.2">
      <c r="A156" s="17">
        <v>1707</v>
      </c>
      <c r="B156" t="s">
        <v>168</v>
      </c>
      <c r="C156">
        <v>0.28999999999999998</v>
      </c>
      <c r="D156">
        <v>-0.7</v>
      </c>
      <c r="E156">
        <v>8.14</v>
      </c>
      <c r="F156">
        <v>10.53</v>
      </c>
      <c r="G156">
        <v>8.0399999999999991</v>
      </c>
      <c r="H156">
        <v>18.03</v>
      </c>
      <c r="I156">
        <v>-0.77</v>
      </c>
      <c r="J156">
        <v>71.209999999999994</v>
      </c>
      <c r="K156">
        <v>65.25</v>
      </c>
      <c r="L156" s="50">
        <v>239.4043528</v>
      </c>
      <c r="M156" s="50">
        <v>85.292096220000005</v>
      </c>
      <c r="N156" s="50">
        <v>-154.11225659999999</v>
      </c>
    </row>
    <row r="157" spans="1:14" ht="16" x14ac:dyDescent="0.2">
      <c r="A157" s="17">
        <v>112</v>
      </c>
      <c r="B157" t="s">
        <v>169</v>
      </c>
      <c r="C157">
        <v>0.65</v>
      </c>
      <c r="D157">
        <v>-1.2</v>
      </c>
      <c r="E157">
        <v>5.0599999999999996</v>
      </c>
      <c r="F157">
        <v>13.64</v>
      </c>
      <c r="G157">
        <v>11.36</v>
      </c>
      <c r="H157">
        <v>20.96</v>
      </c>
      <c r="I157">
        <v>-1.7</v>
      </c>
      <c r="J157">
        <v>9.73</v>
      </c>
      <c r="K157">
        <v>73.11</v>
      </c>
      <c r="L157" s="50">
        <v>117.9227597</v>
      </c>
      <c r="M157" s="50">
        <v>26.19891264</v>
      </c>
      <c r="N157" s="50">
        <v>-91.723847019999994</v>
      </c>
    </row>
    <row r="158" spans="1:14" ht="16" x14ac:dyDescent="0.2">
      <c r="A158" s="17">
        <v>1011</v>
      </c>
      <c r="B158" t="s">
        <v>170</v>
      </c>
      <c r="C158">
        <v>3.19</v>
      </c>
      <c r="D158">
        <v>-1.6</v>
      </c>
      <c r="E158">
        <v>8.01</v>
      </c>
      <c r="F158">
        <v>15.46</v>
      </c>
      <c r="G158">
        <v>14.36</v>
      </c>
      <c r="H158">
        <v>18.829999999999998</v>
      </c>
      <c r="I158">
        <v>-1.77</v>
      </c>
      <c r="J158">
        <v>15.08</v>
      </c>
      <c r="K158">
        <v>88.09</v>
      </c>
      <c r="L158" s="50">
        <v>144.59351749999999</v>
      </c>
      <c r="M158" s="50">
        <v>27.375132839999999</v>
      </c>
      <c r="N158" s="50">
        <v>-117.2183847</v>
      </c>
    </row>
    <row r="159" spans="1:14" ht="16" x14ac:dyDescent="0.2">
      <c r="A159" s="17">
        <v>1809</v>
      </c>
      <c r="B159" t="s">
        <v>171</v>
      </c>
      <c r="C159">
        <v>1.33</v>
      </c>
      <c r="D159">
        <v>0.2</v>
      </c>
      <c r="E159">
        <v>6.77</v>
      </c>
      <c r="F159">
        <v>14</v>
      </c>
      <c r="G159">
        <v>11.97</v>
      </c>
      <c r="H159">
        <v>19.89</v>
      </c>
      <c r="I159">
        <v>-1.5</v>
      </c>
      <c r="J159">
        <v>21.97</v>
      </c>
      <c r="K159">
        <v>79.33</v>
      </c>
      <c r="L159" s="50">
        <v>95.162389279999999</v>
      </c>
      <c r="M159" s="50">
        <v>30.95995155</v>
      </c>
      <c r="N159" s="50">
        <v>-64.20243773</v>
      </c>
    </row>
    <row r="160" spans="1:14" ht="16" x14ac:dyDescent="0.2">
      <c r="A160" s="17">
        <v>1212</v>
      </c>
      <c r="B160" t="s">
        <v>172</v>
      </c>
      <c r="C160">
        <v>0.48</v>
      </c>
      <c r="D160">
        <v>5.5</v>
      </c>
      <c r="E160">
        <v>7.54</v>
      </c>
      <c r="F160">
        <v>11.9</v>
      </c>
      <c r="G160">
        <v>8.65</v>
      </c>
      <c r="H160">
        <v>17.399999999999999</v>
      </c>
      <c r="I160">
        <v>-4.09</v>
      </c>
      <c r="J160">
        <v>29.67</v>
      </c>
      <c r="K160">
        <v>76.37</v>
      </c>
      <c r="L160" s="50">
        <v>129.4803636</v>
      </c>
      <c r="M160" s="50">
        <v>93.033784940000004</v>
      </c>
      <c r="N160" s="50">
        <v>-36.446578629999998</v>
      </c>
    </row>
    <row r="161" spans="1:14" ht="16" x14ac:dyDescent="0.2">
      <c r="A161" s="17">
        <v>1012</v>
      </c>
      <c r="B161" t="s">
        <v>173</v>
      </c>
      <c r="C161">
        <v>1.55</v>
      </c>
      <c r="D161">
        <v>-1.3</v>
      </c>
      <c r="E161">
        <v>6.07</v>
      </c>
      <c r="F161">
        <v>16.29</v>
      </c>
      <c r="G161">
        <v>12.94</v>
      </c>
      <c r="H161">
        <v>18.37</v>
      </c>
      <c r="I161">
        <v>-2.2999999999999998</v>
      </c>
      <c r="J161">
        <v>7.76</v>
      </c>
      <c r="K161">
        <v>81.319999999999993</v>
      </c>
      <c r="L161" s="50">
        <v>159.87107169999999</v>
      </c>
      <c r="M161" s="50">
        <v>28.904915389999999</v>
      </c>
      <c r="N161" s="50">
        <v>-130.96615629999999</v>
      </c>
    </row>
    <row r="162" spans="1:14" ht="16" x14ac:dyDescent="0.2">
      <c r="A162" s="17">
        <v>211</v>
      </c>
      <c r="B162" t="s">
        <v>174</v>
      </c>
      <c r="C162">
        <v>2.19</v>
      </c>
      <c r="D162">
        <v>-1.7</v>
      </c>
      <c r="E162">
        <v>5.1100000000000003</v>
      </c>
      <c r="F162">
        <v>11.21</v>
      </c>
      <c r="G162">
        <v>10.35</v>
      </c>
      <c r="H162">
        <v>20.49</v>
      </c>
      <c r="I162">
        <v>-5.28</v>
      </c>
      <c r="J162">
        <v>14.56</v>
      </c>
      <c r="K162">
        <v>79.510000000000005</v>
      </c>
      <c r="L162" s="50">
        <v>127.8918214</v>
      </c>
      <c r="M162" s="50">
        <v>12.542521989999999</v>
      </c>
      <c r="N162" s="50">
        <v>-115.34929940000001</v>
      </c>
    </row>
    <row r="163" spans="1:14" ht="16" x14ac:dyDescent="0.2">
      <c r="A163" s="17">
        <v>1116</v>
      </c>
      <c r="B163" t="s">
        <v>175</v>
      </c>
      <c r="C163">
        <v>4.5199999999999996</v>
      </c>
      <c r="D163">
        <v>-4.9000000000000004</v>
      </c>
      <c r="E163">
        <v>8.34</v>
      </c>
      <c r="F163">
        <v>25.06</v>
      </c>
      <c r="G163">
        <v>11.66</v>
      </c>
      <c r="H163">
        <v>17.57</v>
      </c>
      <c r="I163">
        <v>-4.04</v>
      </c>
      <c r="J163">
        <v>24.57</v>
      </c>
      <c r="K163">
        <v>94.74</v>
      </c>
      <c r="L163" s="50">
        <v>118.42731740000001</v>
      </c>
      <c r="M163" s="50">
        <v>1.763936669</v>
      </c>
      <c r="N163" s="50">
        <v>-116.6633807</v>
      </c>
    </row>
    <row r="164" spans="1:14" ht="16" x14ac:dyDescent="0.2">
      <c r="A164" s="17">
        <v>1110</v>
      </c>
      <c r="B164" t="s">
        <v>176</v>
      </c>
      <c r="C164">
        <v>1.54</v>
      </c>
      <c r="D164">
        <v>3.3</v>
      </c>
      <c r="E164">
        <v>7.37</v>
      </c>
      <c r="F164">
        <v>40.76</v>
      </c>
      <c r="G164">
        <v>10.49</v>
      </c>
      <c r="H164">
        <v>10.14</v>
      </c>
      <c r="I164">
        <v>-3.32</v>
      </c>
      <c r="J164">
        <v>12.99</v>
      </c>
      <c r="K164">
        <v>165.5</v>
      </c>
      <c r="L164" s="50">
        <v>149.98021370000001</v>
      </c>
      <c r="M164" s="50">
        <v>1.6935915640000001</v>
      </c>
      <c r="N164" s="50">
        <v>-148.28662209999999</v>
      </c>
    </row>
    <row r="165" spans="1:14" ht="16" x14ac:dyDescent="0.2">
      <c r="A165" s="17">
        <v>506</v>
      </c>
      <c r="B165" t="s">
        <v>177</v>
      </c>
      <c r="C165">
        <v>0.65</v>
      </c>
      <c r="D165">
        <v>9.1</v>
      </c>
      <c r="E165">
        <v>3.23</v>
      </c>
      <c r="F165">
        <v>9.1199999999999992</v>
      </c>
      <c r="G165">
        <v>6.29</v>
      </c>
      <c r="H165">
        <v>14.58</v>
      </c>
      <c r="I165">
        <v>-1.06</v>
      </c>
      <c r="J165">
        <v>8.86</v>
      </c>
      <c r="K165">
        <v>66.59</v>
      </c>
      <c r="L165" s="50">
        <v>110.4804379</v>
      </c>
      <c r="M165" s="50">
        <v>105.77944460000001</v>
      </c>
      <c r="N165" s="50">
        <v>-4.7009933100000003</v>
      </c>
    </row>
    <row r="166" spans="1:14" ht="16" x14ac:dyDescent="0.2">
      <c r="A166" s="17">
        <v>810</v>
      </c>
      <c r="B166" t="s">
        <v>178</v>
      </c>
      <c r="C166">
        <v>0.43</v>
      </c>
      <c r="D166">
        <v>3.5</v>
      </c>
      <c r="E166">
        <v>9.81</v>
      </c>
      <c r="F166">
        <v>16.3</v>
      </c>
      <c r="G166">
        <v>17.12</v>
      </c>
      <c r="H166">
        <v>27.11</v>
      </c>
      <c r="I166">
        <v>-4.18</v>
      </c>
      <c r="J166">
        <v>27.68</v>
      </c>
      <c r="K166">
        <v>84.47</v>
      </c>
      <c r="L166" s="50">
        <v>133.540999</v>
      </c>
      <c r="M166" s="50">
        <v>6.8708961750000004</v>
      </c>
      <c r="N166" s="50">
        <v>-126.6701029</v>
      </c>
    </row>
    <row r="167" spans="1:14" ht="16" x14ac:dyDescent="0.2">
      <c r="A167" s="17">
        <v>113</v>
      </c>
      <c r="B167" t="s">
        <v>179</v>
      </c>
      <c r="C167">
        <v>0.97</v>
      </c>
      <c r="D167">
        <v>-2.8</v>
      </c>
      <c r="E167">
        <v>6.06</v>
      </c>
      <c r="F167">
        <v>13.8</v>
      </c>
      <c r="G167">
        <v>10.55</v>
      </c>
      <c r="H167">
        <v>16.079999999999998</v>
      </c>
      <c r="I167">
        <v>-1.19</v>
      </c>
      <c r="J167">
        <v>9.1</v>
      </c>
      <c r="K167">
        <v>84.46</v>
      </c>
      <c r="L167" s="50">
        <v>114.0699821</v>
      </c>
      <c r="M167" s="50">
        <v>5.5557890629999998</v>
      </c>
      <c r="N167" s="50">
        <v>-108.5141931</v>
      </c>
    </row>
    <row r="168" spans="1:14" ht="16" x14ac:dyDescent="0.2">
      <c r="A168" s="17">
        <v>1810</v>
      </c>
      <c r="B168" t="s">
        <v>180</v>
      </c>
      <c r="C168">
        <v>2.13</v>
      </c>
      <c r="D168">
        <v>6.4</v>
      </c>
      <c r="E168">
        <v>6.84</v>
      </c>
      <c r="F168">
        <v>11.97</v>
      </c>
      <c r="G168">
        <v>13.24</v>
      </c>
      <c r="H168">
        <v>21.49</v>
      </c>
      <c r="I168">
        <v>-1.1599999999999999</v>
      </c>
      <c r="J168">
        <v>6.43</v>
      </c>
      <c r="K168">
        <v>81.099999999999994</v>
      </c>
      <c r="L168" s="50">
        <v>119.69351829999999</v>
      </c>
      <c r="M168" s="50">
        <v>36.554152000000002</v>
      </c>
      <c r="N168" s="50">
        <v>-83.139366330000001</v>
      </c>
    </row>
    <row r="169" spans="1:14" ht="16" x14ac:dyDescent="0.2">
      <c r="A169" s="17">
        <v>114</v>
      </c>
      <c r="B169" t="s">
        <v>181</v>
      </c>
      <c r="C169">
        <v>2.33</v>
      </c>
      <c r="D169">
        <v>6</v>
      </c>
      <c r="E169">
        <v>4.59</v>
      </c>
      <c r="F169">
        <v>17.48</v>
      </c>
      <c r="G169">
        <v>13.29</v>
      </c>
      <c r="H169">
        <v>20.98</v>
      </c>
      <c r="I169">
        <v>-0.77</v>
      </c>
      <c r="J169">
        <v>19.63</v>
      </c>
      <c r="K169">
        <v>85.53</v>
      </c>
      <c r="L169" s="50">
        <v>126.06208460000001</v>
      </c>
      <c r="M169" s="50">
        <v>12.86699756</v>
      </c>
      <c r="N169" s="50">
        <v>-113.19508709999999</v>
      </c>
    </row>
    <row r="170" spans="1:14" ht="16" x14ac:dyDescent="0.2">
      <c r="A170" s="17">
        <v>611</v>
      </c>
      <c r="B170" t="s">
        <v>182</v>
      </c>
      <c r="C170">
        <v>0.77</v>
      </c>
      <c r="D170">
        <v>2.6</v>
      </c>
      <c r="E170">
        <v>5.74</v>
      </c>
      <c r="F170">
        <v>12.73</v>
      </c>
      <c r="G170">
        <v>12.2</v>
      </c>
      <c r="H170">
        <v>15.84</v>
      </c>
      <c r="I170">
        <v>-0.59</v>
      </c>
      <c r="J170">
        <v>19.48</v>
      </c>
      <c r="K170">
        <v>75.099999999999994</v>
      </c>
      <c r="L170" s="50">
        <v>99.168036150000006</v>
      </c>
      <c r="M170" s="50">
        <v>21.733771569999998</v>
      </c>
      <c r="N170" s="50">
        <v>-77.434264589999998</v>
      </c>
    </row>
    <row r="171" spans="1:14" ht="16" x14ac:dyDescent="0.2">
      <c r="A171" s="17">
        <v>1421</v>
      </c>
      <c r="B171" t="s">
        <v>183</v>
      </c>
      <c r="C171">
        <v>1.33</v>
      </c>
      <c r="D171">
        <v>2.2999999999999998</v>
      </c>
      <c r="E171">
        <v>4.76</v>
      </c>
      <c r="F171">
        <v>16.149999999999999</v>
      </c>
      <c r="G171">
        <v>11.5</v>
      </c>
      <c r="H171">
        <v>22.49</v>
      </c>
      <c r="I171">
        <v>-0.82</v>
      </c>
      <c r="J171">
        <v>7.58</v>
      </c>
      <c r="K171">
        <v>86.61</v>
      </c>
      <c r="L171" s="50">
        <v>127.3912083</v>
      </c>
      <c r="M171" s="50">
        <v>7.3980561079999996</v>
      </c>
      <c r="N171" s="50">
        <v>-119.9931522</v>
      </c>
    </row>
    <row r="172" spans="1:14" ht="16" x14ac:dyDescent="0.2">
      <c r="A172" s="17">
        <v>212</v>
      </c>
      <c r="B172" t="s">
        <v>184</v>
      </c>
      <c r="C172">
        <v>0.53</v>
      </c>
      <c r="D172">
        <v>-1.5</v>
      </c>
      <c r="E172">
        <v>7.13</v>
      </c>
      <c r="F172">
        <v>9.7100000000000009</v>
      </c>
      <c r="G172">
        <v>12.34</v>
      </c>
      <c r="H172">
        <v>13.78</v>
      </c>
      <c r="I172">
        <v>-5.92</v>
      </c>
      <c r="J172">
        <v>16.940000000000001</v>
      </c>
      <c r="K172">
        <v>75.599999999999994</v>
      </c>
      <c r="L172" s="50">
        <v>148.24797839999999</v>
      </c>
      <c r="M172" s="50">
        <v>105.309973</v>
      </c>
      <c r="N172" s="50">
        <v>-42.938005390000001</v>
      </c>
    </row>
    <row r="173" spans="1:14" ht="16" x14ac:dyDescent="0.2">
      <c r="A173" s="17">
        <v>115</v>
      </c>
      <c r="B173" t="s">
        <v>185</v>
      </c>
      <c r="C173">
        <v>0.91</v>
      </c>
      <c r="D173">
        <v>1.5</v>
      </c>
      <c r="E173">
        <v>7.12</v>
      </c>
      <c r="F173">
        <v>18.77</v>
      </c>
      <c r="G173">
        <v>10.53</v>
      </c>
      <c r="H173">
        <v>14.4</v>
      </c>
      <c r="I173">
        <v>-2.96</v>
      </c>
      <c r="J173">
        <v>26.24</v>
      </c>
      <c r="K173">
        <v>89.06</v>
      </c>
      <c r="L173" s="50">
        <v>109.3839954</v>
      </c>
      <c r="M173" s="50">
        <v>6.1102115719999999</v>
      </c>
      <c r="N173" s="50">
        <v>-103.2737838</v>
      </c>
    </row>
    <row r="174" spans="1:14" ht="16" x14ac:dyDescent="0.2">
      <c r="A174" s="17">
        <v>1309</v>
      </c>
      <c r="B174" t="s">
        <v>186</v>
      </c>
      <c r="C174">
        <v>0.63</v>
      </c>
      <c r="D174">
        <v>0.8</v>
      </c>
      <c r="E174">
        <v>7.67</v>
      </c>
      <c r="F174">
        <v>11.34</v>
      </c>
      <c r="G174">
        <v>13.48</v>
      </c>
      <c r="H174">
        <v>18.84</v>
      </c>
      <c r="I174">
        <v>-1.22</v>
      </c>
      <c r="J174">
        <v>29.41</v>
      </c>
      <c r="K174">
        <v>82.37</v>
      </c>
      <c r="L174" s="50">
        <v>102.03971799999999</v>
      </c>
      <c r="M174" s="50">
        <v>4.6197728859999998</v>
      </c>
      <c r="N174" s="50">
        <v>-97.41994511</v>
      </c>
    </row>
    <row r="175" spans="1:14" ht="16" x14ac:dyDescent="0.2">
      <c r="A175" s="17">
        <v>1508</v>
      </c>
      <c r="B175" t="s">
        <v>187</v>
      </c>
      <c r="C175">
        <v>1.36</v>
      </c>
      <c r="D175">
        <v>0.2</v>
      </c>
      <c r="E175">
        <v>7.95</v>
      </c>
      <c r="F175">
        <v>21.3</v>
      </c>
      <c r="G175">
        <v>15.28</v>
      </c>
      <c r="H175">
        <v>21.77</v>
      </c>
      <c r="I175">
        <v>-7.47</v>
      </c>
      <c r="J175">
        <v>15.46</v>
      </c>
      <c r="K175">
        <v>97.68</v>
      </c>
      <c r="L175" s="50">
        <v>104.42344370000001</v>
      </c>
      <c r="M175" s="50">
        <v>4.5340297740000004</v>
      </c>
      <c r="N175" s="50">
        <v>-99.889413910000002</v>
      </c>
    </row>
    <row r="176" spans="1:14" ht="16" x14ac:dyDescent="0.2">
      <c r="A176" s="17">
        <v>612</v>
      </c>
      <c r="B176" t="s">
        <v>188</v>
      </c>
      <c r="C176">
        <v>0.1</v>
      </c>
      <c r="D176">
        <v>-3.1</v>
      </c>
      <c r="E176">
        <v>3.86</v>
      </c>
      <c r="F176">
        <v>5.98</v>
      </c>
      <c r="G176">
        <v>5.58</v>
      </c>
      <c r="H176">
        <v>14.04</v>
      </c>
      <c r="I176">
        <v>-1.62</v>
      </c>
      <c r="J176">
        <v>15.49</v>
      </c>
      <c r="K176">
        <v>64.95</v>
      </c>
      <c r="L176" s="50">
        <v>63.359528490000002</v>
      </c>
      <c r="M176" s="50">
        <v>122.7578585</v>
      </c>
      <c r="N176" s="50">
        <v>59.398330059999999</v>
      </c>
    </row>
    <row r="177" spans="1:14" ht="16" x14ac:dyDescent="0.2">
      <c r="A177" s="17">
        <v>1310</v>
      </c>
      <c r="B177" t="s">
        <v>189</v>
      </c>
      <c r="C177">
        <v>0.66</v>
      </c>
      <c r="D177">
        <v>1.8</v>
      </c>
      <c r="E177">
        <v>8.73</v>
      </c>
      <c r="F177">
        <v>13.19</v>
      </c>
      <c r="G177">
        <v>11.14</v>
      </c>
      <c r="H177">
        <v>17.95</v>
      </c>
      <c r="I177">
        <v>-1.45</v>
      </c>
      <c r="J177">
        <v>32.090000000000003</v>
      </c>
      <c r="K177">
        <v>79.33</v>
      </c>
      <c r="L177" s="50">
        <v>101.43341340000001</v>
      </c>
      <c r="M177" s="50">
        <v>2.9630937249999998</v>
      </c>
      <c r="N177" s="50">
        <v>-98.470319630000006</v>
      </c>
    </row>
    <row r="178" spans="1:14" ht="16" x14ac:dyDescent="0.2">
      <c r="A178" s="17">
        <v>1605</v>
      </c>
      <c r="B178" t="s">
        <v>190</v>
      </c>
      <c r="C178">
        <v>0.73</v>
      </c>
      <c r="D178">
        <v>5.4</v>
      </c>
      <c r="E178">
        <v>5.64</v>
      </c>
      <c r="F178">
        <v>10.23</v>
      </c>
      <c r="G178">
        <v>9.69</v>
      </c>
      <c r="H178">
        <v>17.489999999999998</v>
      </c>
      <c r="I178">
        <v>-1.45</v>
      </c>
      <c r="J178">
        <v>8.99</v>
      </c>
      <c r="K178">
        <v>69.37</v>
      </c>
      <c r="L178" s="50">
        <v>128.52700680000001</v>
      </c>
      <c r="M178" s="50">
        <v>44.161004259999999</v>
      </c>
      <c r="N178" s="50">
        <v>-84.366002530000003</v>
      </c>
    </row>
    <row r="179" spans="1:14" ht="16" x14ac:dyDescent="0.2">
      <c r="A179" s="17">
        <v>1013</v>
      </c>
      <c r="B179" t="s">
        <v>191</v>
      </c>
      <c r="C179">
        <v>1.49</v>
      </c>
      <c r="D179">
        <v>-14.6</v>
      </c>
      <c r="E179">
        <v>8.44</v>
      </c>
      <c r="F179">
        <v>9.58</v>
      </c>
      <c r="G179">
        <v>8.4</v>
      </c>
      <c r="H179">
        <v>14.22</v>
      </c>
      <c r="I179">
        <v>-0.72</v>
      </c>
      <c r="J179">
        <v>38.46</v>
      </c>
      <c r="K179">
        <v>69.67</v>
      </c>
      <c r="L179" s="50">
        <v>123.6083357</v>
      </c>
      <c r="M179" s="50">
        <v>144.6188981</v>
      </c>
      <c r="N179" s="50">
        <v>21.01056238</v>
      </c>
    </row>
    <row r="180" spans="1:14" ht="16" x14ac:dyDescent="0.2">
      <c r="A180" s="17">
        <v>613</v>
      </c>
      <c r="B180" t="s">
        <v>192</v>
      </c>
      <c r="C180">
        <v>0.19</v>
      </c>
      <c r="D180">
        <v>3.8</v>
      </c>
      <c r="E180">
        <v>3.84</v>
      </c>
      <c r="F180">
        <v>11.15</v>
      </c>
      <c r="G180">
        <v>10.27</v>
      </c>
      <c r="H180">
        <v>13.82</v>
      </c>
      <c r="I180">
        <v>-2.25</v>
      </c>
      <c r="J180">
        <v>11.3</v>
      </c>
      <c r="K180">
        <v>69.709999999999994</v>
      </c>
      <c r="L180" s="50">
        <v>123.6075901</v>
      </c>
      <c r="M180" s="50">
        <v>30.692171779999999</v>
      </c>
      <c r="N180" s="50">
        <v>-92.915418299999999</v>
      </c>
    </row>
    <row r="181" spans="1:14" ht="16" x14ac:dyDescent="0.2">
      <c r="A181" s="17">
        <v>1311</v>
      </c>
      <c r="B181" t="s">
        <v>193</v>
      </c>
      <c r="C181">
        <v>0.39</v>
      </c>
      <c r="D181">
        <v>1</v>
      </c>
      <c r="E181">
        <v>8.0299999999999994</v>
      </c>
      <c r="F181">
        <v>12.57</v>
      </c>
      <c r="G181">
        <v>10.94</v>
      </c>
      <c r="H181">
        <v>15.95</v>
      </c>
      <c r="I181">
        <v>-1.37</v>
      </c>
      <c r="J181">
        <v>30.53</v>
      </c>
      <c r="K181">
        <v>80.36</v>
      </c>
      <c r="L181" s="50">
        <v>95.934144599999996</v>
      </c>
      <c r="M181" s="50">
        <v>4.0067287040000004</v>
      </c>
      <c r="N181" s="50">
        <v>-91.927415890000006</v>
      </c>
    </row>
    <row r="182" spans="1:14" ht="16" x14ac:dyDescent="0.2">
      <c r="A182" s="17">
        <v>1811</v>
      </c>
      <c r="B182" t="s">
        <v>194</v>
      </c>
      <c r="C182">
        <v>0.38</v>
      </c>
      <c r="D182">
        <v>-0.2</v>
      </c>
      <c r="E182">
        <v>7.61</v>
      </c>
      <c r="F182">
        <v>9.24</v>
      </c>
      <c r="G182">
        <v>9.5</v>
      </c>
      <c r="H182">
        <v>16.239999999999998</v>
      </c>
      <c r="I182">
        <v>-0.95</v>
      </c>
      <c r="J182">
        <v>20.02</v>
      </c>
      <c r="K182">
        <v>65.75</v>
      </c>
      <c r="L182" s="50">
        <v>117.3260573</v>
      </c>
      <c r="M182" s="50">
        <v>56.676671210000002</v>
      </c>
      <c r="N182" s="50">
        <v>-60.649386079999999</v>
      </c>
    </row>
    <row r="183" spans="1:14" ht="16" x14ac:dyDescent="0.2">
      <c r="A183" s="17">
        <v>507</v>
      </c>
      <c r="B183" t="s">
        <v>195</v>
      </c>
      <c r="C183">
        <v>-0.39</v>
      </c>
      <c r="D183">
        <v>8.8000000000000007</v>
      </c>
      <c r="E183">
        <v>7.35</v>
      </c>
      <c r="F183">
        <v>9.11</v>
      </c>
      <c r="G183">
        <v>11.58</v>
      </c>
      <c r="H183">
        <v>22.72</v>
      </c>
      <c r="I183">
        <v>-2.12</v>
      </c>
      <c r="J183">
        <v>25.16</v>
      </c>
      <c r="K183">
        <v>61.24</v>
      </c>
      <c r="L183" s="50">
        <v>99.874895749999993</v>
      </c>
      <c r="M183" s="50">
        <v>94.672643870000002</v>
      </c>
      <c r="N183" s="50">
        <v>-5.2022518770000001</v>
      </c>
    </row>
    <row r="184" spans="1:14" ht="16" x14ac:dyDescent="0.2">
      <c r="A184" s="17">
        <v>1812</v>
      </c>
      <c r="B184" t="s">
        <v>196</v>
      </c>
      <c r="C184">
        <v>0.56999999999999995</v>
      </c>
      <c r="D184">
        <v>-3.9</v>
      </c>
      <c r="E184">
        <v>5.52</v>
      </c>
      <c r="F184">
        <v>9.57</v>
      </c>
      <c r="G184">
        <v>9.65</v>
      </c>
      <c r="H184">
        <v>21.23</v>
      </c>
      <c r="I184">
        <v>-0.22</v>
      </c>
      <c r="J184">
        <v>32.4</v>
      </c>
      <c r="K184">
        <v>66.11</v>
      </c>
      <c r="L184" s="50">
        <v>243.2915921</v>
      </c>
      <c r="M184" s="50">
        <v>128.8264758</v>
      </c>
      <c r="N184" s="50">
        <v>-114.46511630000001</v>
      </c>
    </row>
    <row r="185" spans="1:14" ht="16" x14ac:dyDescent="0.2">
      <c r="A185" s="17">
        <v>614</v>
      </c>
      <c r="B185" t="s">
        <v>197</v>
      </c>
      <c r="C185">
        <v>1.57</v>
      </c>
      <c r="D185">
        <v>-6.7</v>
      </c>
      <c r="E185">
        <v>4.3600000000000003</v>
      </c>
      <c r="F185">
        <v>14.39</v>
      </c>
      <c r="G185">
        <v>8.8699999999999992</v>
      </c>
      <c r="H185">
        <v>14.99</v>
      </c>
      <c r="I185">
        <v>-1.73</v>
      </c>
      <c r="J185">
        <v>10.34</v>
      </c>
      <c r="K185">
        <v>77.5</v>
      </c>
      <c r="L185" s="50">
        <v>118.7056899</v>
      </c>
      <c r="M185" s="50">
        <v>78.66569715</v>
      </c>
      <c r="N185" s="50">
        <v>-40.039992730000002</v>
      </c>
    </row>
    <row r="186" spans="1:14" ht="16" x14ac:dyDescent="0.2">
      <c r="A186" s="17">
        <v>1014</v>
      </c>
      <c r="B186" t="s">
        <v>198</v>
      </c>
      <c r="C186">
        <v>1.73</v>
      </c>
      <c r="D186">
        <v>4.3</v>
      </c>
      <c r="E186">
        <v>7.05</v>
      </c>
      <c r="F186">
        <v>15.2</v>
      </c>
      <c r="G186">
        <v>15.01</v>
      </c>
      <c r="H186">
        <v>21.54</v>
      </c>
      <c r="I186">
        <v>-3.2</v>
      </c>
      <c r="J186">
        <v>16.86</v>
      </c>
      <c r="K186">
        <v>87.72</v>
      </c>
      <c r="L186" s="50">
        <v>123.289208</v>
      </c>
      <c r="M186" s="50">
        <v>14.42038741</v>
      </c>
      <c r="N186" s="50">
        <v>-108.86882060000001</v>
      </c>
    </row>
    <row r="187" spans="1:14" ht="16" x14ac:dyDescent="0.2">
      <c r="A187" s="17">
        <v>1708</v>
      </c>
      <c r="B187" t="s">
        <v>199</v>
      </c>
      <c r="C187">
        <v>0.31</v>
      </c>
      <c r="D187">
        <v>2.7</v>
      </c>
      <c r="E187">
        <v>9.51</v>
      </c>
      <c r="F187">
        <v>14.19</v>
      </c>
      <c r="G187">
        <v>11.18</v>
      </c>
      <c r="H187">
        <v>16.78</v>
      </c>
      <c r="I187">
        <v>-1.51</v>
      </c>
      <c r="J187">
        <v>65.83</v>
      </c>
      <c r="K187">
        <v>84.76</v>
      </c>
      <c r="L187" s="50">
        <v>171.72623150000001</v>
      </c>
      <c r="M187" s="50">
        <v>25.224920659999999</v>
      </c>
      <c r="N187" s="50">
        <v>-146.50131089999999</v>
      </c>
    </row>
    <row r="188" spans="1:14" ht="16" x14ac:dyDescent="0.2">
      <c r="A188" s="17">
        <v>910</v>
      </c>
      <c r="B188" t="s">
        <v>200</v>
      </c>
      <c r="C188">
        <v>0.46</v>
      </c>
      <c r="D188">
        <v>-11.3</v>
      </c>
      <c r="E188">
        <v>5.48</v>
      </c>
      <c r="F188">
        <v>10.91</v>
      </c>
      <c r="G188">
        <v>12.31</v>
      </c>
      <c r="H188">
        <v>16.68</v>
      </c>
      <c r="I188">
        <v>-1.27</v>
      </c>
      <c r="J188">
        <v>18.670000000000002</v>
      </c>
      <c r="K188">
        <v>70.02</v>
      </c>
      <c r="L188" s="50">
        <v>215.29426470000001</v>
      </c>
      <c r="M188" s="50">
        <v>59.621391979999999</v>
      </c>
      <c r="N188" s="50">
        <v>-155.6728727</v>
      </c>
    </row>
    <row r="189" spans="1:14" ht="16" x14ac:dyDescent="0.2">
      <c r="A189" s="17">
        <v>1015</v>
      </c>
      <c r="B189" t="s">
        <v>201</v>
      </c>
      <c r="C189">
        <v>1.93</v>
      </c>
      <c r="D189">
        <v>-4.0999999999999996</v>
      </c>
      <c r="E189">
        <v>4.5199999999999996</v>
      </c>
      <c r="F189">
        <v>13.17</v>
      </c>
      <c r="G189">
        <v>13.66</v>
      </c>
      <c r="H189">
        <v>18.899999999999999</v>
      </c>
      <c r="I189">
        <v>-0.64</v>
      </c>
      <c r="J189">
        <v>16.16</v>
      </c>
      <c r="K189">
        <v>85.22</v>
      </c>
      <c r="L189" s="50">
        <v>125.93067790000001</v>
      </c>
      <c r="M189" s="50">
        <v>7.1149472210000004</v>
      </c>
      <c r="N189" s="50">
        <v>-118.81573059999999</v>
      </c>
    </row>
    <row r="190" spans="1:14" ht="16" x14ac:dyDescent="0.2">
      <c r="A190" s="17">
        <v>1606</v>
      </c>
      <c r="B190" t="s">
        <v>202</v>
      </c>
      <c r="C190">
        <v>0.34</v>
      </c>
      <c r="D190">
        <v>5.2</v>
      </c>
      <c r="E190">
        <v>5.98</v>
      </c>
      <c r="F190">
        <v>11.11</v>
      </c>
      <c r="G190">
        <v>8.81</v>
      </c>
      <c r="H190">
        <v>14.96</v>
      </c>
      <c r="I190">
        <v>-0.91</v>
      </c>
      <c r="J190">
        <v>8.39</v>
      </c>
      <c r="K190">
        <v>67.150000000000006</v>
      </c>
      <c r="L190" s="50">
        <v>123.1674208</v>
      </c>
      <c r="M190" s="50">
        <v>35.151131220000003</v>
      </c>
      <c r="N190" s="50">
        <v>-88.01628959</v>
      </c>
    </row>
    <row r="191" spans="1:14" ht="16" x14ac:dyDescent="0.2">
      <c r="A191" s="17">
        <v>1607</v>
      </c>
      <c r="B191" t="s">
        <v>203</v>
      </c>
      <c r="C191">
        <v>0.87</v>
      </c>
      <c r="D191">
        <v>0.4</v>
      </c>
      <c r="E191">
        <v>5.19</v>
      </c>
      <c r="F191">
        <v>13.26</v>
      </c>
      <c r="G191">
        <v>10.9</v>
      </c>
      <c r="H191">
        <v>18.53</v>
      </c>
      <c r="I191">
        <v>-1.36</v>
      </c>
      <c r="J191">
        <v>8.9</v>
      </c>
      <c r="K191">
        <v>76.66</v>
      </c>
      <c r="L191" s="50">
        <v>127.1724071</v>
      </c>
      <c r="M191" s="50">
        <v>8.4951751289999997</v>
      </c>
      <c r="N191" s="50">
        <v>-118.677232</v>
      </c>
    </row>
    <row r="192" spans="1:14" ht="16" x14ac:dyDescent="0.2">
      <c r="A192" s="17">
        <v>1213</v>
      </c>
      <c r="B192" t="s">
        <v>204</v>
      </c>
      <c r="C192">
        <v>0.51</v>
      </c>
      <c r="D192">
        <v>10.8</v>
      </c>
      <c r="E192">
        <v>7.93</v>
      </c>
      <c r="F192">
        <v>12.32</v>
      </c>
      <c r="G192">
        <v>10.18</v>
      </c>
      <c r="H192">
        <v>20.77</v>
      </c>
      <c r="I192">
        <v>-6.91</v>
      </c>
      <c r="J192">
        <v>26.52</v>
      </c>
      <c r="K192">
        <v>83.87</v>
      </c>
      <c r="L192" s="50">
        <v>109.414925</v>
      </c>
      <c r="M192" s="50">
        <v>31.751949159999999</v>
      </c>
      <c r="N192" s="50">
        <v>-77.66297582</v>
      </c>
    </row>
    <row r="193" spans="1:14" ht="16" x14ac:dyDescent="0.2">
      <c r="A193" s="17">
        <v>1214</v>
      </c>
      <c r="B193" t="s">
        <v>205</v>
      </c>
      <c r="C193">
        <v>1.27</v>
      </c>
      <c r="D193">
        <v>6.9</v>
      </c>
      <c r="E193">
        <v>5.83</v>
      </c>
      <c r="F193">
        <v>22.52</v>
      </c>
      <c r="G193">
        <v>11.66</v>
      </c>
      <c r="H193">
        <v>16.98</v>
      </c>
      <c r="I193">
        <v>-3.05</v>
      </c>
      <c r="J193">
        <v>19.34</v>
      </c>
      <c r="K193">
        <v>98.54</v>
      </c>
      <c r="L193" s="50">
        <v>123.9101124</v>
      </c>
      <c r="M193" s="50">
        <v>19.35685393</v>
      </c>
      <c r="N193" s="50">
        <v>-104.5532584</v>
      </c>
    </row>
    <row r="194" spans="1:14" ht="16" x14ac:dyDescent="0.2">
      <c r="A194" s="17">
        <v>709</v>
      </c>
      <c r="B194" t="s">
        <v>206</v>
      </c>
      <c r="C194">
        <v>0.63</v>
      </c>
      <c r="D194">
        <v>9.1999999999999993</v>
      </c>
      <c r="E194">
        <v>7.9</v>
      </c>
      <c r="F194">
        <v>9.5</v>
      </c>
      <c r="G194">
        <v>10.77</v>
      </c>
      <c r="H194">
        <v>16.190000000000001</v>
      </c>
      <c r="I194">
        <v>-8.77</v>
      </c>
      <c r="J194">
        <v>29.52</v>
      </c>
      <c r="K194">
        <v>68.16</v>
      </c>
      <c r="L194" s="50">
        <v>128.5788652</v>
      </c>
      <c r="M194" s="50">
        <v>80.518827000000002</v>
      </c>
      <c r="N194" s="50">
        <v>-48.060038169999999</v>
      </c>
    </row>
    <row r="195" spans="1:14" ht="16" x14ac:dyDescent="0.2">
      <c r="A195" s="17">
        <v>811</v>
      </c>
      <c r="B195" t="s">
        <v>207</v>
      </c>
      <c r="C195">
        <v>2.46</v>
      </c>
      <c r="D195">
        <v>6</v>
      </c>
      <c r="E195">
        <v>13.46</v>
      </c>
      <c r="F195">
        <v>20.69</v>
      </c>
      <c r="G195">
        <v>17.760000000000002</v>
      </c>
      <c r="H195">
        <v>28.24</v>
      </c>
      <c r="I195">
        <v>-3.9</v>
      </c>
      <c r="J195">
        <v>40</v>
      </c>
      <c r="K195">
        <v>102.11</v>
      </c>
      <c r="L195" s="50">
        <v>147.0354026</v>
      </c>
      <c r="M195" s="50">
        <v>5.5937489630000004</v>
      </c>
      <c r="N195" s="50">
        <v>-141.44165369999999</v>
      </c>
    </row>
    <row r="196" spans="1:14" ht="16" x14ac:dyDescent="0.2">
      <c r="A196" s="17">
        <v>1312</v>
      </c>
      <c r="B196" t="s">
        <v>208</v>
      </c>
      <c r="C196">
        <v>3.78</v>
      </c>
      <c r="D196">
        <v>-4.5</v>
      </c>
      <c r="E196">
        <v>11.71</v>
      </c>
      <c r="F196">
        <v>37.53</v>
      </c>
      <c r="G196">
        <v>7.98</v>
      </c>
      <c r="H196">
        <v>9.5500000000000007</v>
      </c>
      <c r="I196">
        <v>-3.08</v>
      </c>
      <c r="J196">
        <v>80.459999999999994</v>
      </c>
      <c r="K196">
        <v>147.63</v>
      </c>
      <c r="L196" s="50">
        <v>188.95946240000001</v>
      </c>
      <c r="M196" s="50">
        <v>1.6807413470000001</v>
      </c>
      <c r="N196" s="50">
        <v>-187.27872099999999</v>
      </c>
    </row>
    <row r="197" spans="1:14" ht="16" x14ac:dyDescent="0.2">
      <c r="A197" s="17">
        <v>1016</v>
      </c>
      <c r="B197" t="s">
        <v>209</v>
      </c>
      <c r="C197">
        <v>1.9</v>
      </c>
      <c r="D197">
        <v>-0.4</v>
      </c>
      <c r="E197">
        <v>4.29</v>
      </c>
      <c r="F197">
        <v>14.68</v>
      </c>
      <c r="G197">
        <v>12.79</v>
      </c>
      <c r="H197">
        <v>22</v>
      </c>
      <c r="I197">
        <v>-1</v>
      </c>
      <c r="J197">
        <v>13.14</v>
      </c>
      <c r="K197">
        <v>82.41</v>
      </c>
      <c r="L197" s="50">
        <v>122.1461673</v>
      </c>
      <c r="M197" s="50">
        <v>16.51205306</v>
      </c>
      <c r="N197" s="50">
        <v>-105.6341142</v>
      </c>
    </row>
    <row r="198" spans="1:14" ht="16" x14ac:dyDescent="0.2">
      <c r="A198" s="17">
        <v>309</v>
      </c>
      <c r="B198" t="s">
        <v>210</v>
      </c>
      <c r="C198">
        <v>0.91</v>
      </c>
      <c r="D198">
        <v>2.6</v>
      </c>
      <c r="E198">
        <v>7.53</v>
      </c>
      <c r="F198">
        <v>11.8</v>
      </c>
      <c r="G198">
        <v>10.91</v>
      </c>
      <c r="H198">
        <v>16.14</v>
      </c>
      <c r="I198">
        <v>-1.31</v>
      </c>
      <c r="J198">
        <v>12.53</v>
      </c>
      <c r="K198">
        <v>71.95</v>
      </c>
      <c r="L198" s="50">
        <v>99.326066310000002</v>
      </c>
      <c r="M198" s="50">
        <v>13.97892261</v>
      </c>
      <c r="N198" s="50">
        <v>-85.347143700000004</v>
      </c>
    </row>
    <row r="199" spans="1:14" ht="16" x14ac:dyDescent="0.2">
      <c r="A199" s="17">
        <v>1313</v>
      </c>
      <c r="B199" t="s">
        <v>211</v>
      </c>
      <c r="C199">
        <v>1.73</v>
      </c>
      <c r="D199">
        <v>-7.9</v>
      </c>
      <c r="E199">
        <v>8.26</v>
      </c>
      <c r="F199">
        <v>19.12</v>
      </c>
      <c r="G199">
        <v>12.87</v>
      </c>
      <c r="H199">
        <v>18.04</v>
      </c>
      <c r="I199">
        <v>-1.53</v>
      </c>
      <c r="J199">
        <v>22.9</v>
      </c>
      <c r="K199">
        <v>94.48</v>
      </c>
      <c r="L199" s="50">
        <v>132.74254730000001</v>
      </c>
      <c r="M199" s="50">
        <v>4.801032084</v>
      </c>
      <c r="N199" s="50">
        <v>-127.94151530000001</v>
      </c>
    </row>
    <row r="200" spans="1:14" ht="16" x14ac:dyDescent="0.2">
      <c r="A200" s="17">
        <v>508</v>
      </c>
      <c r="B200" t="s">
        <v>212</v>
      </c>
      <c r="C200">
        <v>0.86</v>
      </c>
      <c r="D200">
        <v>4.4000000000000004</v>
      </c>
      <c r="E200">
        <v>5.83</v>
      </c>
      <c r="F200">
        <v>12.69</v>
      </c>
      <c r="G200">
        <v>8.4700000000000006</v>
      </c>
      <c r="H200">
        <v>14.28</v>
      </c>
      <c r="I200">
        <v>-0.36</v>
      </c>
      <c r="J200">
        <v>13.3</v>
      </c>
      <c r="K200">
        <v>74.77</v>
      </c>
      <c r="L200" s="50">
        <v>111.0643668</v>
      </c>
      <c r="M200" s="50">
        <v>67.739447479999995</v>
      </c>
      <c r="N200" s="50">
        <v>-43.324919370000003</v>
      </c>
    </row>
    <row r="201" spans="1:14" ht="16" x14ac:dyDescent="0.2">
      <c r="A201" s="17">
        <v>710</v>
      </c>
      <c r="B201" t="s">
        <v>213</v>
      </c>
      <c r="C201">
        <v>0.16</v>
      </c>
      <c r="D201">
        <v>5.4</v>
      </c>
      <c r="E201">
        <v>6.08</v>
      </c>
      <c r="F201">
        <v>11.12</v>
      </c>
      <c r="G201">
        <v>13.13</v>
      </c>
      <c r="H201">
        <v>17.47</v>
      </c>
      <c r="I201">
        <v>-8.1300000000000008</v>
      </c>
      <c r="J201">
        <v>28.18</v>
      </c>
      <c r="K201">
        <v>74.11</v>
      </c>
      <c r="L201" s="50">
        <v>137.38273179999999</v>
      </c>
      <c r="M201" s="50">
        <v>69.174749559999995</v>
      </c>
      <c r="N201" s="50">
        <v>-68.207982189999996</v>
      </c>
    </row>
    <row r="202" spans="1:14" ht="16" x14ac:dyDescent="0.2">
      <c r="A202" s="17">
        <v>711</v>
      </c>
      <c r="B202" t="s">
        <v>214</v>
      </c>
      <c r="C202">
        <v>-0.2</v>
      </c>
      <c r="D202">
        <v>15.3</v>
      </c>
      <c r="E202">
        <v>7.34</v>
      </c>
      <c r="F202">
        <v>13.47</v>
      </c>
      <c r="G202">
        <v>16.059999999999999</v>
      </c>
      <c r="H202">
        <v>21.49</v>
      </c>
      <c r="I202">
        <v>-5.26</v>
      </c>
      <c r="J202">
        <v>51.88</v>
      </c>
      <c r="K202">
        <v>90.92</v>
      </c>
      <c r="L202" s="50">
        <v>148.53090169999999</v>
      </c>
      <c r="M202" s="50">
        <v>43.940222900000002</v>
      </c>
      <c r="N202" s="50">
        <v>-104.59067880000001</v>
      </c>
    </row>
    <row r="203" spans="1:14" ht="16" x14ac:dyDescent="0.2">
      <c r="A203" s="17">
        <v>1813</v>
      </c>
      <c r="B203" t="s">
        <v>215</v>
      </c>
      <c r="C203">
        <v>0.12</v>
      </c>
      <c r="D203">
        <v>-6.4</v>
      </c>
      <c r="E203">
        <v>9.0500000000000007</v>
      </c>
      <c r="F203">
        <v>8.86</v>
      </c>
      <c r="G203">
        <v>12.61</v>
      </c>
      <c r="H203">
        <v>12.56</v>
      </c>
      <c r="I203">
        <v>0.01</v>
      </c>
      <c r="J203">
        <v>57.87</v>
      </c>
      <c r="K203">
        <v>65.680000000000007</v>
      </c>
      <c r="L203" s="50">
        <v>149.74924770000001</v>
      </c>
      <c r="M203" s="50">
        <v>36.749247740000001</v>
      </c>
      <c r="N203" s="50">
        <v>-113</v>
      </c>
    </row>
    <row r="204" spans="1:14" ht="16" x14ac:dyDescent="0.2">
      <c r="A204" s="17">
        <v>1709</v>
      </c>
      <c r="B204" t="s">
        <v>216</v>
      </c>
      <c r="C204">
        <v>0.77</v>
      </c>
      <c r="D204">
        <v>-1.1000000000000001</v>
      </c>
      <c r="E204">
        <v>7.99</v>
      </c>
      <c r="F204">
        <v>8.5</v>
      </c>
      <c r="G204">
        <v>7.58</v>
      </c>
      <c r="H204">
        <v>10.53</v>
      </c>
      <c r="I204">
        <v>-1.1000000000000001</v>
      </c>
      <c r="J204">
        <v>42.02</v>
      </c>
      <c r="K204">
        <v>65.78</v>
      </c>
      <c r="L204" s="50">
        <v>128.8615805</v>
      </c>
      <c r="M204" s="50">
        <v>63.217272569999999</v>
      </c>
      <c r="N204" s="50">
        <v>-65.644307900000001</v>
      </c>
    </row>
    <row r="205" spans="1:14" ht="16" x14ac:dyDescent="0.2">
      <c r="A205" s="17">
        <v>1414</v>
      </c>
      <c r="B205" t="s">
        <v>217</v>
      </c>
      <c r="C205">
        <v>1.84</v>
      </c>
      <c r="D205">
        <v>1</v>
      </c>
      <c r="E205">
        <v>5.03</v>
      </c>
      <c r="F205">
        <v>14.09</v>
      </c>
      <c r="G205">
        <v>11.41</v>
      </c>
      <c r="H205">
        <v>21.62</v>
      </c>
      <c r="I205">
        <v>-1.83</v>
      </c>
      <c r="J205">
        <v>15.56</v>
      </c>
      <c r="K205">
        <v>89.83</v>
      </c>
      <c r="L205" s="50">
        <v>110.90495850000001</v>
      </c>
      <c r="M205" s="50">
        <v>18.17570388</v>
      </c>
      <c r="N205" s="50">
        <v>-92.729254600000004</v>
      </c>
    </row>
    <row r="206" spans="1:14" ht="16" x14ac:dyDescent="0.2">
      <c r="A206" s="17">
        <v>1710</v>
      </c>
      <c r="B206" t="s">
        <v>218</v>
      </c>
      <c r="C206">
        <v>0.03</v>
      </c>
      <c r="D206">
        <v>-6.6</v>
      </c>
      <c r="E206">
        <v>6.97</v>
      </c>
      <c r="F206">
        <v>9.6999999999999993</v>
      </c>
      <c r="G206">
        <v>12.63</v>
      </c>
      <c r="H206">
        <v>17.55</v>
      </c>
      <c r="I206">
        <v>-0.77</v>
      </c>
      <c r="J206">
        <v>37.92</v>
      </c>
      <c r="K206">
        <v>67.400000000000006</v>
      </c>
      <c r="L206" s="50">
        <v>186.56850420000001</v>
      </c>
      <c r="M206" s="50">
        <v>77.390913990000001</v>
      </c>
      <c r="N206" s="50">
        <v>-109.1775902</v>
      </c>
    </row>
    <row r="207" spans="1:14" ht="16" x14ac:dyDescent="0.2">
      <c r="A207" s="17">
        <v>911</v>
      </c>
      <c r="B207" t="s">
        <v>219</v>
      </c>
      <c r="C207">
        <v>0.22</v>
      </c>
      <c r="D207">
        <v>5.2</v>
      </c>
      <c r="E207">
        <v>5.78</v>
      </c>
      <c r="F207">
        <v>10.15</v>
      </c>
      <c r="G207">
        <v>8.56</v>
      </c>
      <c r="H207">
        <v>22.18</v>
      </c>
      <c r="I207">
        <v>-1.51</v>
      </c>
      <c r="J207">
        <v>25.99</v>
      </c>
      <c r="K207">
        <v>64.06</v>
      </c>
      <c r="L207" s="50">
        <v>123.48071160000001</v>
      </c>
      <c r="M207" s="50">
        <v>39.238153949999997</v>
      </c>
      <c r="N207" s="50">
        <v>-84.242557689999998</v>
      </c>
    </row>
    <row r="208" spans="1:14" ht="16" x14ac:dyDescent="0.2">
      <c r="A208" s="17">
        <v>1415</v>
      </c>
      <c r="B208" t="s">
        <v>220</v>
      </c>
      <c r="C208">
        <v>0.51</v>
      </c>
      <c r="D208">
        <v>-2.1</v>
      </c>
      <c r="E208">
        <v>7.36</v>
      </c>
      <c r="F208">
        <v>12.17</v>
      </c>
      <c r="G208">
        <v>16.100000000000001</v>
      </c>
      <c r="H208">
        <v>27.45</v>
      </c>
      <c r="I208">
        <v>-4.84</v>
      </c>
      <c r="J208">
        <v>19.21</v>
      </c>
      <c r="K208">
        <v>81.180000000000007</v>
      </c>
      <c r="L208" s="50">
        <v>88.042698239999993</v>
      </c>
      <c r="M208" s="50">
        <v>19.39585576</v>
      </c>
      <c r="N208" s="50">
        <v>-68.646842480000004</v>
      </c>
    </row>
    <row r="209" spans="1:14" ht="16" x14ac:dyDescent="0.2">
      <c r="A209" s="17">
        <v>1814</v>
      </c>
      <c r="B209" t="s">
        <v>221</v>
      </c>
      <c r="C209">
        <v>0.85</v>
      </c>
      <c r="D209">
        <v>2</v>
      </c>
      <c r="E209">
        <v>5.9</v>
      </c>
      <c r="F209">
        <v>12.9</v>
      </c>
      <c r="G209">
        <v>12.11</v>
      </c>
      <c r="H209">
        <v>16.739999999999998</v>
      </c>
      <c r="I209">
        <v>-0.66</v>
      </c>
      <c r="J209">
        <v>19.5</v>
      </c>
      <c r="K209">
        <v>74.95</v>
      </c>
      <c r="L209" s="50">
        <v>97.970154789999995</v>
      </c>
      <c r="M209" s="50">
        <v>40.436555749999997</v>
      </c>
      <c r="N209" s="50">
        <v>-57.533599039999999</v>
      </c>
    </row>
    <row r="210" spans="1:14" ht="16" x14ac:dyDescent="0.2">
      <c r="A210" s="17">
        <v>109</v>
      </c>
      <c r="B210" t="s">
        <v>222</v>
      </c>
      <c r="C210">
        <v>0.41</v>
      </c>
      <c r="D210">
        <v>-7.5</v>
      </c>
      <c r="E210">
        <v>7.71</v>
      </c>
      <c r="F210">
        <v>16.82</v>
      </c>
      <c r="G210">
        <v>11.69</v>
      </c>
      <c r="H210">
        <v>15.93</v>
      </c>
      <c r="I210">
        <v>-1.31</v>
      </c>
      <c r="J210">
        <v>18.37</v>
      </c>
      <c r="K210">
        <v>88.4</v>
      </c>
      <c r="L210" s="50">
        <v>119.10343020000001</v>
      </c>
      <c r="M210" s="50">
        <v>2.4821646959999999</v>
      </c>
      <c r="N210" s="50">
        <v>-116.62126550000001</v>
      </c>
    </row>
    <row r="211" spans="1:14" ht="16" x14ac:dyDescent="0.2">
      <c r="A211" s="17">
        <v>1711</v>
      </c>
      <c r="B211" t="s">
        <v>223</v>
      </c>
      <c r="C211">
        <v>0.17</v>
      </c>
      <c r="D211">
        <v>2.4</v>
      </c>
      <c r="E211">
        <v>6.81</v>
      </c>
      <c r="F211">
        <v>10.06</v>
      </c>
      <c r="G211">
        <v>8.58</v>
      </c>
      <c r="H211">
        <v>14.96</v>
      </c>
      <c r="I211">
        <v>-0.74</v>
      </c>
      <c r="J211">
        <v>58.28</v>
      </c>
      <c r="K211">
        <v>64.39</v>
      </c>
      <c r="L211" s="50">
        <v>232.8200033</v>
      </c>
      <c r="M211" s="50">
        <v>73.083291939999995</v>
      </c>
      <c r="N211" s="50">
        <v>-159.73671139999999</v>
      </c>
    </row>
    <row r="212" spans="1:14" ht="16" x14ac:dyDescent="0.2">
      <c r="A212" s="17">
        <v>1416</v>
      </c>
      <c r="B212" t="s">
        <v>224</v>
      </c>
      <c r="C212">
        <v>2.63</v>
      </c>
      <c r="D212">
        <v>-3.7</v>
      </c>
      <c r="E212">
        <v>6.28</v>
      </c>
      <c r="F212">
        <v>22.23</v>
      </c>
      <c r="G212">
        <v>11.85</v>
      </c>
      <c r="H212">
        <v>17.809999999999999</v>
      </c>
      <c r="I212">
        <v>-3.2</v>
      </c>
      <c r="J212">
        <v>25.3</v>
      </c>
      <c r="K212">
        <v>99.48</v>
      </c>
      <c r="L212" s="50">
        <v>112.1578208</v>
      </c>
      <c r="M212" s="50">
        <v>6.5661602300000004</v>
      </c>
      <c r="N212" s="50">
        <v>-105.5916605</v>
      </c>
    </row>
    <row r="213" spans="1:14" ht="16" x14ac:dyDescent="0.2">
      <c r="A213" s="17">
        <v>1509</v>
      </c>
      <c r="B213" t="s">
        <v>225</v>
      </c>
      <c r="C213">
        <v>1.32</v>
      </c>
      <c r="D213">
        <v>13.2</v>
      </c>
      <c r="E213">
        <v>6.65</v>
      </c>
      <c r="F213">
        <v>15.63</v>
      </c>
      <c r="G213">
        <v>12.2</v>
      </c>
      <c r="H213">
        <v>16.71</v>
      </c>
      <c r="I213">
        <v>-8.73</v>
      </c>
      <c r="J213">
        <v>12.86</v>
      </c>
      <c r="K213">
        <v>95.81</v>
      </c>
      <c r="L213" s="50">
        <v>121.29533859999999</v>
      </c>
      <c r="M213" s="50">
        <v>14.023324649999999</v>
      </c>
      <c r="N213" s="50">
        <v>-107.272014</v>
      </c>
    </row>
    <row r="214" spans="1:14" ht="16" x14ac:dyDescent="0.2">
      <c r="A214" s="17">
        <v>1314</v>
      </c>
      <c r="B214" t="s">
        <v>226</v>
      </c>
      <c r="C214">
        <v>0.47</v>
      </c>
      <c r="D214">
        <v>0</v>
      </c>
      <c r="E214">
        <v>7.7</v>
      </c>
      <c r="F214">
        <v>15.25</v>
      </c>
      <c r="G214">
        <v>10.33</v>
      </c>
      <c r="H214">
        <v>14.72</v>
      </c>
      <c r="I214">
        <v>-1.83</v>
      </c>
      <c r="J214">
        <v>21.1</v>
      </c>
      <c r="K214">
        <v>84.83</v>
      </c>
      <c r="L214" s="50">
        <v>96.655483790000005</v>
      </c>
      <c r="M214" s="50">
        <v>6.1736842879999996</v>
      </c>
      <c r="N214" s="50">
        <v>-90.481799510000002</v>
      </c>
    </row>
    <row r="215" spans="1:14" ht="16" x14ac:dyDescent="0.2">
      <c r="A215" s="17">
        <v>812</v>
      </c>
      <c r="B215" t="s">
        <v>227</v>
      </c>
      <c r="C215">
        <v>0.69</v>
      </c>
      <c r="D215">
        <v>5.9</v>
      </c>
      <c r="E215">
        <v>7.22</v>
      </c>
      <c r="F215">
        <v>19.47</v>
      </c>
      <c r="G215">
        <v>12.51</v>
      </c>
      <c r="H215">
        <v>22.3</v>
      </c>
      <c r="I215">
        <v>-3.16</v>
      </c>
      <c r="J215">
        <v>18.86</v>
      </c>
      <c r="K215">
        <v>90.17</v>
      </c>
      <c r="L215" s="50">
        <v>156.29127410000001</v>
      </c>
      <c r="M215" s="50">
        <v>27.647265999999998</v>
      </c>
      <c r="N215" s="50">
        <v>-128.64400810000001</v>
      </c>
    </row>
    <row r="216" spans="1:14" ht="16" x14ac:dyDescent="0.2">
      <c r="A216" s="17">
        <v>116</v>
      </c>
      <c r="B216" t="s">
        <v>228</v>
      </c>
      <c r="C216">
        <v>2.84</v>
      </c>
      <c r="D216">
        <v>-4.5999999999999996</v>
      </c>
      <c r="E216">
        <v>8.73</v>
      </c>
      <c r="F216">
        <v>20.399999999999999</v>
      </c>
      <c r="G216">
        <v>11.25</v>
      </c>
      <c r="H216">
        <v>12.37</v>
      </c>
      <c r="I216">
        <v>-2.16</v>
      </c>
      <c r="J216">
        <v>18.89</v>
      </c>
      <c r="K216">
        <v>116.73</v>
      </c>
      <c r="L216" s="50">
        <v>134.7579973</v>
      </c>
      <c r="M216" s="50">
        <v>15.63517487</v>
      </c>
      <c r="N216" s="50">
        <v>-119.1228224</v>
      </c>
    </row>
    <row r="217" spans="1:14" ht="16" x14ac:dyDescent="0.2">
      <c r="A217" s="17">
        <v>1815</v>
      </c>
      <c r="B217" t="s">
        <v>229</v>
      </c>
      <c r="C217">
        <v>0.22</v>
      </c>
      <c r="D217">
        <v>0.3</v>
      </c>
      <c r="E217">
        <v>5.48</v>
      </c>
      <c r="F217">
        <v>8.83</v>
      </c>
      <c r="G217">
        <v>12.8</v>
      </c>
      <c r="H217">
        <v>20.18</v>
      </c>
      <c r="I217">
        <v>-0.05</v>
      </c>
      <c r="J217">
        <v>20.32</v>
      </c>
      <c r="K217">
        <v>69.22</v>
      </c>
      <c r="L217" s="50">
        <v>242.14851780000001</v>
      </c>
      <c r="M217" s="50">
        <v>50.641326679999999</v>
      </c>
      <c r="N217" s="50">
        <v>-191.5071911</v>
      </c>
    </row>
    <row r="218" spans="1:14" ht="16" x14ac:dyDescent="0.2">
      <c r="A218" s="17">
        <v>1816</v>
      </c>
      <c r="B218" t="s">
        <v>230</v>
      </c>
      <c r="C218">
        <v>1.79</v>
      </c>
      <c r="D218">
        <v>6.3</v>
      </c>
      <c r="E218">
        <v>9.26</v>
      </c>
      <c r="F218">
        <v>11.45</v>
      </c>
      <c r="G218">
        <v>10</v>
      </c>
      <c r="H218">
        <v>18.95</v>
      </c>
      <c r="I218">
        <v>-1.05</v>
      </c>
      <c r="J218">
        <v>12.38</v>
      </c>
      <c r="K218">
        <v>73.709999999999994</v>
      </c>
      <c r="L218" s="50">
        <v>111.6821506</v>
      </c>
      <c r="M218" s="50">
        <v>27.129867560000001</v>
      </c>
      <c r="N218" s="50">
        <v>-84.552283059999993</v>
      </c>
    </row>
    <row r="219" spans="1:14" ht="16" x14ac:dyDescent="0.2">
      <c r="A219" s="17">
        <v>1417</v>
      </c>
      <c r="B219" t="s">
        <v>231</v>
      </c>
      <c r="C219">
        <v>1.36</v>
      </c>
      <c r="D219">
        <v>5.7</v>
      </c>
      <c r="E219">
        <v>6.29</v>
      </c>
      <c r="F219">
        <v>11.8</v>
      </c>
      <c r="G219">
        <v>8.75</v>
      </c>
      <c r="H219">
        <v>18.03</v>
      </c>
      <c r="I219">
        <v>-1.03</v>
      </c>
      <c r="J219">
        <v>25.76</v>
      </c>
      <c r="K219">
        <v>74.31</v>
      </c>
      <c r="L219" s="50">
        <v>106.981982</v>
      </c>
      <c r="M219" s="50">
        <v>125.36599099999999</v>
      </c>
      <c r="N219" s="50">
        <v>18.38400901</v>
      </c>
    </row>
    <row r="220" spans="1:14" ht="16" x14ac:dyDescent="0.2">
      <c r="A220" s="17">
        <v>1817</v>
      </c>
      <c r="B220" t="s">
        <v>232</v>
      </c>
      <c r="C220">
        <v>0.81</v>
      </c>
      <c r="D220">
        <v>0.9</v>
      </c>
      <c r="E220">
        <v>6.79</v>
      </c>
      <c r="F220">
        <v>12.5</v>
      </c>
      <c r="G220">
        <v>12.65</v>
      </c>
      <c r="H220">
        <v>21.3</v>
      </c>
      <c r="I220">
        <v>-0.8</v>
      </c>
      <c r="J220">
        <v>26.04</v>
      </c>
      <c r="K220">
        <v>70.36</v>
      </c>
      <c r="L220" s="50">
        <v>112.9851288</v>
      </c>
      <c r="M220" s="50">
        <v>30.4570185</v>
      </c>
      <c r="N220" s="50">
        <v>-82.528110260000005</v>
      </c>
    </row>
    <row r="221" spans="1:14" ht="16" x14ac:dyDescent="0.2">
      <c r="A221" s="17">
        <v>912</v>
      </c>
      <c r="B221" t="s">
        <v>233</v>
      </c>
      <c r="C221">
        <v>0.68</v>
      </c>
      <c r="D221">
        <v>4.3</v>
      </c>
      <c r="E221">
        <v>6.12</v>
      </c>
      <c r="F221">
        <v>12.8</v>
      </c>
      <c r="G221">
        <v>9.14</v>
      </c>
      <c r="H221">
        <v>14.62</v>
      </c>
      <c r="I221">
        <v>-1.95</v>
      </c>
      <c r="J221">
        <v>30.37</v>
      </c>
      <c r="K221">
        <v>78.849999999999994</v>
      </c>
      <c r="L221" s="50">
        <v>104.0582247</v>
      </c>
      <c r="M221" s="50">
        <v>22.708554060000001</v>
      </c>
      <c r="N221" s="50">
        <v>-81.349670639999999</v>
      </c>
    </row>
    <row r="222" spans="1:14" ht="16" x14ac:dyDescent="0.2">
      <c r="A222" s="17">
        <v>1510</v>
      </c>
      <c r="B222" t="s">
        <v>234</v>
      </c>
      <c r="C222">
        <v>3.22</v>
      </c>
      <c r="D222">
        <v>0.1</v>
      </c>
      <c r="E222">
        <v>9.23</v>
      </c>
      <c r="F222">
        <v>21.56</v>
      </c>
      <c r="G222">
        <v>13.26</v>
      </c>
      <c r="H222">
        <v>18.13</v>
      </c>
      <c r="I222">
        <v>-7.7</v>
      </c>
      <c r="J222">
        <v>32.6</v>
      </c>
      <c r="K222">
        <v>95.99</v>
      </c>
      <c r="L222" s="50">
        <v>100.7774995</v>
      </c>
      <c r="M222" s="50">
        <v>1.7332230829999999</v>
      </c>
      <c r="N222" s="50">
        <v>-99.044276429999996</v>
      </c>
    </row>
    <row r="223" spans="1:14" ht="16" x14ac:dyDescent="0.2">
      <c r="A223" s="17">
        <v>1818</v>
      </c>
      <c r="B223" t="s">
        <v>235</v>
      </c>
      <c r="C223">
        <v>1.35</v>
      </c>
      <c r="D223">
        <v>-2.1</v>
      </c>
      <c r="E223">
        <v>4.91</v>
      </c>
      <c r="F223">
        <v>8.8000000000000007</v>
      </c>
      <c r="G223">
        <v>12.51</v>
      </c>
      <c r="H223">
        <v>14.04</v>
      </c>
      <c r="I223">
        <v>0.05</v>
      </c>
      <c r="J223">
        <v>33.43</v>
      </c>
      <c r="K223">
        <v>64.260000000000005</v>
      </c>
      <c r="L223" s="50">
        <v>161.78276890000001</v>
      </c>
      <c r="M223" s="50">
        <v>65.350061409999995</v>
      </c>
      <c r="N223" s="50">
        <v>-96.432707489999999</v>
      </c>
    </row>
    <row r="224" spans="1:14" ht="16" x14ac:dyDescent="0.2">
      <c r="A224" s="17">
        <v>213</v>
      </c>
      <c r="B224" t="s">
        <v>236</v>
      </c>
      <c r="C224">
        <v>1.43</v>
      </c>
      <c r="D224">
        <v>3</v>
      </c>
      <c r="E224">
        <v>10.83</v>
      </c>
      <c r="F224">
        <v>11.92</v>
      </c>
      <c r="G224">
        <v>12.13</v>
      </c>
      <c r="H224">
        <v>16.829999999999998</v>
      </c>
      <c r="I224">
        <v>-9.84</v>
      </c>
      <c r="J224">
        <v>57.92</v>
      </c>
      <c r="K224">
        <v>74.42</v>
      </c>
      <c r="L224" s="50">
        <v>140.6987724</v>
      </c>
      <c r="M224" s="50">
        <v>30.17941454</v>
      </c>
      <c r="N224" s="50">
        <v>-110.5193579</v>
      </c>
    </row>
    <row r="225" spans="1:14" ht="16" x14ac:dyDescent="0.2">
      <c r="A225" s="17">
        <v>509</v>
      </c>
      <c r="B225" t="s">
        <v>237</v>
      </c>
      <c r="C225">
        <v>1.26</v>
      </c>
      <c r="D225">
        <v>5.0999999999999996</v>
      </c>
      <c r="E225">
        <v>5.55</v>
      </c>
      <c r="F225">
        <v>10.84</v>
      </c>
      <c r="G225">
        <v>9.6999999999999993</v>
      </c>
      <c r="H225">
        <v>17.09</v>
      </c>
      <c r="I225">
        <v>-0.79</v>
      </c>
      <c r="J225">
        <v>19.54</v>
      </c>
      <c r="K225">
        <v>76.34</v>
      </c>
      <c r="L225" s="50">
        <v>109.9381388</v>
      </c>
      <c r="M225" s="50">
        <v>28.780930609999999</v>
      </c>
      <c r="N225" s="50">
        <v>-81.157208179999998</v>
      </c>
    </row>
    <row r="226" spans="1:14" ht="16" x14ac:dyDescent="0.2">
      <c r="A226" s="17">
        <v>1511</v>
      </c>
      <c r="B226" t="s">
        <v>238</v>
      </c>
      <c r="C226">
        <v>1.35</v>
      </c>
      <c r="D226">
        <v>-2.8</v>
      </c>
      <c r="E226">
        <v>8</v>
      </c>
      <c r="F226">
        <v>19.62</v>
      </c>
      <c r="G226">
        <v>17.260000000000002</v>
      </c>
      <c r="H226">
        <v>22.33</v>
      </c>
      <c r="I226">
        <v>-7.38</v>
      </c>
      <c r="J226">
        <v>26.99</v>
      </c>
      <c r="K226">
        <v>94.05</v>
      </c>
      <c r="L226" s="50">
        <v>113.45419130000001</v>
      </c>
      <c r="M226" s="50">
        <v>5.6401228559999996</v>
      </c>
      <c r="N226" s="50">
        <v>-107.8140685</v>
      </c>
    </row>
    <row r="227" spans="1:14" ht="16" x14ac:dyDescent="0.2">
      <c r="A227" s="17">
        <v>1512</v>
      </c>
      <c r="B227" t="s">
        <v>239</v>
      </c>
      <c r="C227">
        <v>2.58</v>
      </c>
      <c r="D227">
        <v>-0.8</v>
      </c>
      <c r="E227">
        <v>9.1199999999999992</v>
      </c>
      <c r="F227">
        <v>22.59</v>
      </c>
      <c r="G227">
        <v>14.48</v>
      </c>
      <c r="H227">
        <v>19</v>
      </c>
      <c r="I227">
        <v>-6.82</v>
      </c>
      <c r="J227">
        <v>35.950000000000003</v>
      </c>
      <c r="K227">
        <v>104.81</v>
      </c>
      <c r="L227" s="50">
        <v>110.9658242</v>
      </c>
      <c r="M227" s="50">
        <v>2.9940387240000002</v>
      </c>
      <c r="N227" s="50">
        <v>-107.9717855</v>
      </c>
    </row>
    <row r="228" spans="1:14" ht="16" x14ac:dyDescent="0.2">
      <c r="A228" s="17">
        <v>117</v>
      </c>
      <c r="B228" t="s">
        <v>240</v>
      </c>
      <c r="C228">
        <v>1.86</v>
      </c>
      <c r="D228">
        <v>4</v>
      </c>
      <c r="E228">
        <v>3.43</v>
      </c>
      <c r="F228">
        <v>14.06</v>
      </c>
      <c r="G228">
        <v>10.16</v>
      </c>
      <c r="H228">
        <v>18.61</v>
      </c>
      <c r="I228">
        <v>-0.55000000000000004</v>
      </c>
      <c r="J228">
        <v>10.01</v>
      </c>
      <c r="K228">
        <v>80.42</v>
      </c>
      <c r="L228" s="50">
        <v>138.2911105</v>
      </c>
      <c r="M228" s="50">
        <v>37.160628350000003</v>
      </c>
      <c r="N228" s="50">
        <v>-101.1304822</v>
      </c>
    </row>
    <row r="229" spans="1:14" ht="16" x14ac:dyDescent="0.2">
      <c r="A229" s="17">
        <v>813</v>
      </c>
      <c r="B229" t="s">
        <v>241</v>
      </c>
      <c r="C229">
        <v>1.88</v>
      </c>
      <c r="D229">
        <v>-0.1</v>
      </c>
      <c r="E229">
        <v>11.26</v>
      </c>
      <c r="F229">
        <v>14.1</v>
      </c>
      <c r="G229">
        <v>15.42</v>
      </c>
      <c r="H229">
        <v>27.56</v>
      </c>
      <c r="I229">
        <v>-7.23</v>
      </c>
      <c r="J229">
        <v>16.86</v>
      </c>
      <c r="K229">
        <v>83.81</v>
      </c>
      <c r="L229" s="50">
        <v>143.38764090000001</v>
      </c>
      <c r="M229" s="50">
        <v>8.9615314210000001</v>
      </c>
      <c r="N229" s="50">
        <v>-134.4261095</v>
      </c>
    </row>
    <row r="230" spans="1:14" ht="16" x14ac:dyDescent="0.2">
      <c r="A230" s="17">
        <v>1513</v>
      </c>
      <c r="B230" t="s">
        <v>242</v>
      </c>
      <c r="C230">
        <v>3.13</v>
      </c>
      <c r="D230">
        <v>15.6</v>
      </c>
      <c r="E230">
        <v>8.17</v>
      </c>
      <c r="F230">
        <v>15.86</v>
      </c>
      <c r="G230">
        <v>13.9</v>
      </c>
      <c r="H230">
        <v>18.72</v>
      </c>
      <c r="I230">
        <v>-7.95</v>
      </c>
      <c r="J230">
        <v>31.25</v>
      </c>
      <c r="K230">
        <v>120.33</v>
      </c>
      <c r="L230" s="50">
        <v>109.5445435</v>
      </c>
      <c r="M230" s="50">
        <v>23.215840759999999</v>
      </c>
      <c r="N230" s="50">
        <v>-86.328702739999997</v>
      </c>
    </row>
    <row r="231" spans="1:14" ht="16" x14ac:dyDescent="0.2">
      <c r="A231" s="17">
        <v>1111</v>
      </c>
      <c r="B231" t="s">
        <v>243</v>
      </c>
      <c r="C231">
        <v>3.1</v>
      </c>
      <c r="D231">
        <v>-1.6</v>
      </c>
      <c r="E231">
        <v>9.1</v>
      </c>
      <c r="F231">
        <v>21.44</v>
      </c>
      <c r="G231">
        <v>12.6</v>
      </c>
      <c r="H231">
        <v>18.66</v>
      </c>
      <c r="I231">
        <v>-4.13</v>
      </c>
      <c r="J231">
        <v>21.54</v>
      </c>
      <c r="K231">
        <v>97.85</v>
      </c>
      <c r="L231" s="50">
        <v>111.8803827</v>
      </c>
      <c r="M231" s="50">
        <v>0.67031647400000005</v>
      </c>
      <c r="N231" s="50">
        <v>-111.2100662</v>
      </c>
    </row>
    <row r="232" spans="1:14" ht="16" x14ac:dyDescent="0.2">
      <c r="A232" s="17">
        <v>1112</v>
      </c>
      <c r="B232" t="s">
        <v>244</v>
      </c>
      <c r="C232">
        <v>2.25</v>
      </c>
      <c r="D232">
        <v>-0.9</v>
      </c>
      <c r="E232">
        <v>4.88</v>
      </c>
      <c r="F232">
        <v>15.93</v>
      </c>
      <c r="G232">
        <v>13.6</v>
      </c>
      <c r="H232">
        <v>21.17</v>
      </c>
      <c r="I232">
        <v>-7.48</v>
      </c>
      <c r="J232">
        <v>13.24</v>
      </c>
      <c r="K232">
        <v>85.81</v>
      </c>
      <c r="L232" s="50">
        <v>116.1348315</v>
      </c>
      <c r="M232" s="50">
        <v>27.93617978</v>
      </c>
      <c r="N232" s="50">
        <v>-88.198651690000005</v>
      </c>
    </row>
    <row r="233" spans="1:14" ht="16" x14ac:dyDescent="0.2">
      <c r="A233" s="17">
        <v>615</v>
      </c>
      <c r="B233" t="s">
        <v>245</v>
      </c>
      <c r="C233">
        <v>0.67</v>
      </c>
      <c r="D233">
        <v>-2.2000000000000002</v>
      </c>
      <c r="E233">
        <v>5.16</v>
      </c>
      <c r="F233">
        <v>13.26</v>
      </c>
      <c r="G233">
        <v>11.16</v>
      </c>
      <c r="H233">
        <v>16.47</v>
      </c>
      <c r="I233">
        <v>-2.76</v>
      </c>
      <c r="J233">
        <v>12.03</v>
      </c>
      <c r="K233">
        <v>74.599999999999994</v>
      </c>
      <c r="L233" s="50">
        <v>91.093234559999999</v>
      </c>
      <c r="M233" s="50">
        <v>26.13461427</v>
      </c>
      <c r="N233" s="50">
        <v>-64.958620289999999</v>
      </c>
    </row>
    <row r="234" spans="1:14" ht="16" x14ac:dyDescent="0.2">
      <c r="A234" s="17">
        <v>1215</v>
      </c>
      <c r="B234" t="s">
        <v>246</v>
      </c>
      <c r="C234">
        <v>1.36</v>
      </c>
      <c r="D234">
        <v>4.2</v>
      </c>
      <c r="E234">
        <v>8.0399999999999991</v>
      </c>
      <c r="F234">
        <v>11.32</v>
      </c>
      <c r="G234">
        <v>10.08</v>
      </c>
      <c r="H234">
        <v>22.47</v>
      </c>
      <c r="I234">
        <v>-4.8</v>
      </c>
      <c r="J234">
        <v>36.700000000000003</v>
      </c>
      <c r="K234">
        <v>72.89</v>
      </c>
      <c r="L234" s="50">
        <v>142.63110309999999</v>
      </c>
      <c r="M234" s="50">
        <v>117.9000904</v>
      </c>
      <c r="N234" s="50">
        <v>-24.731012660000001</v>
      </c>
    </row>
    <row r="235" spans="1:14" ht="16" x14ac:dyDescent="0.2">
      <c r="A235" s="17">
        <v>616</v>
      </c>
      <c r="B235" t="s">
        <v>247</v>
      </c>
      <c r="C235">
        <v>0.27</v>
      </c>
      <c r="D235">
        <v>-6.2</v>
      </c>
      <c r="E235">
        <v>5.52</v>
      </c>
      <c r="F235">
        <v>10.63</v>
      </c>
      <c r="G235">
        <v>10.37</v>
      </c>
      <c r="H235">
        <v>17.440000000000001</v>
      </c>
      <c r="I235">
        <v>-2.09</v>
      </c>
      <c r="J235">
        <v>22.31</v>
      </c>
      <c r="K235">
        <v>73.78</v>
      </c>
      <c r="L235" s="50">
        <v>100.29082579999999</v>
      </c>
      <c r="M235" s="50">
        <v>36.61055786</v>
      </c>
      <c r="N235" s="50">
        <v>-63.680267909999998</v>
      </c>
    </row>
    <row r="236" spans="1:14" ht="16" x14ac:dyDescent="0.2">
      <c r="A236" s="17">
        <v>1819</v>
      </c>
      <c r="B236" t="s">
        <v>248</v>
      </c>
      <c r="C236">
        <v>0.56999999999999995</v>
      </c>
      <c r="D236">
        <v>3.5</v>
      </c>
      <c r="E236">
        <v>7.59</v>
      </c>
      <c r="F236">
        <v>9.02</v>
      </c>
      <c r="G236">
        <v>9.85</v>
      </c>
      <c r="H236">
        <v>21.73</v>
      </c>
      <c r="I236">
        <v>-0.25</v>
      </c>
      <c r="J236">
        <v>44.45</v>
      </c>
      <c r="K236">
        <v>64.11</v>
      </c>
      <c r="L236" s="50">
        <v>169.87497519999999</v>
      </c>
      <c r="M236" s="50">
        <v>62.355626119999997</v>
      </c>
      <c r="N236" s="50">
        <v>-107.5193491</v>
      </c>
    </row>
    <row r="237" spans="1:14" ht="16" x14ac:dyDescent="0.2">
      <c r="A237" s="17">
        <v>1820</v>
      </c>
      <c r="B237" t="s">
        <v>249</v>
      </c>
      <c r="C237">
        <v>0.73</v>
      </c>
      <c r="D237">
        <v>1.7</v>
      </c>
      <c r="E237">
        <v>8.34</v>
      </c>
      <c r="F237">
        <v>11.12</v>
      </c>
      <c r="G237">
        <v>12.83</v>
      </c>
      <c r="H237">
        <v>21.45</v>
      </c>
      <c r="I237">
        <v>-0.89</v>
      </c>
      <c r="J237">
        <v>30.71</v>
      </c>
      <c r="K237">
        <v>70.23</v>
      </c>
      <c r="L237" s="50">
        <v>123.4250102</v>
      </c>
      <c r="M237" s="50">
        <v>43.126947569999999</v>
      </c>
      <c r="N237" s="50">
        <v>-80.298062590000001</v>
      </c>
    </row>
    <row r="238" spans="1:14" ht="16" x14ac:dyDescent="0.2">
      <c r="A238" s="17">
        <v>814</v>
      </c>
      <c r="B238" t="s">
        <v>250</v>
      </c>
      <c r="C238">
        <v>1.82</v>
      </c>
      <c r="D238">
        <v>7.3</v>
      </c>
      <c r="E238">
        <v>9.1300000000000008</v>
      </c>
      <c r="F238">
        <v>17.2</v>
      </c>
      <c r="G238">
        <v>14.99</v>
      </c>
      <c r="H238">
        <v>21</v>
      </c>
      <c r="I238">
        <v>-2.91</v>
      </c>
      <c r="J238">
        <v>17.05</v>
      </c>
      <c r="K238">
        <v>93.74</v>
      </c>
      <c r="L238" s="50">
        <v>160.87777940000001</v>
      </c>
      <c r="M238" s="50">
        <v>12.60790583</v>
      </c>
      <c r="N238" s="50">
        <v>-148.26987360000001</v>
      </c>
    </row>
    <row r="239" spans="1:14" ht="16" x14ac:dyDescent="0.2">
      <c r="A239" s="17">
        <v>310</v>
      </c>
      <c r="B239" t="s">
        <v>251</v>
      </c>
      <c r="C239">
        <v>0.39</v>
      </c>
      <c r="D239">
        <v>6.2</v>
      </c>
      <c r="E239">
        <v>10.039999999999999</v>
      </c>
      <c r="F239">
        <v>9.15</v>
      </c>
      <c r="G239">
        <v>9.73</v>
      </c>
      <c r="H239">
        <v>19.690000000000001</v>
      </c>
      <c r="I239">
        <v>-2.1</v>
      </c>
      <c r="J239">
        <v>11.56</v>
      </c>
      <c r="K239">
        <v>67.12</v>
      </c>
      <c r="L239" s="50">
        <v>140.86055279999999</v>
      </c>
      <c r="M239" s="50">
        <v>67.851758790000005</v>
      </c>
      <c r="N239" s="50">
        <v>-73.008793969999999</v>
      </c>
    </row>
    <row r="240" spans="1:14" ht="16" x14ac:dyDescent="0.2">
      <c r="A240" s="17">
        <v>1418</v>
      </c>
      <c r="B240" t="s">
        <v>252</v>
      </c>
      <c r="C240">
        <v>0.84</v>
      </c>
      <c r="D240">
        <v>2.4</v>
      </c>
      <c r="E240">
        <v>6.65</v>
      </c>
      <c r="F240">
        <v>17.95</v>
      </c>
      <c r="G240">
        <v>11.78</v>
      </c>
      <c r="H240">
        <v>19.04</v>
      </c>
      <c r="I240">
        <v>-2.31</v>
      </c>
      <c r="J240">
        <v>24.78</v>
      </c>
      <c r="K240">
        <v>88.84</v>
      </c>
      <c r="L240" s="50">
        <v>107.6177967</v>
      </c>
      <c r="M240" s="50">
        <v>11.76052099</v>
      </c>
      <c r="N240" s="50">
        <v>-95.857275759999993</v>
      </c>
    </row>
    <row r="241" spans="1:14" ht="16" x14ac:dyDescent="0.2">
      <c r="A241" s="17">
        <v>1821</v>
      </c>
      <c r="B241" t="s">
        <v>253</v>
      </c>
      <c r="C241">
        <v>1.1599999999999999</v>
      </c>
      <c r="D241">
        <v>-1.4</v>
      </c>
      <c r="E241">
        <v>5.6</v>
      </c>
      <c r="F241">
        <v>12.88</v>
      </c>
      <c r="G241">
        <v>10.96</v>
      </c>
      <c r="H241">
        <v>17.559999999999999</v>
      </c>
      <c r="I241">
        <v>-0.73</v>
      </c>
      <c r="J241">
        <v>12.47</v>
      </c>
      <c r="K241">
        <v>79.77</v>
      </c>
      <c r="L241" s="50">
        <v>114.21290399999999</v>
      </c>
      <c r="M241" s="50">
        <v>15.85621066</v>
      </c>
      <c r="N241" s="50">
        <v>-98.356693309999997</v>
      </c>
    </row>
    <row r="242" spans="1:14" ht="16" x14ac:dyDescent="0.2">
      <c r="A242" s="17">
        <v>409</v>
      </c>
      <c r="B242" t="s">
        <v>254</v>
      </c>
      <c r="C242">
        <v>0.25</v>
      </c>
      <c r="D242">
        <v>0.5</v>
      </c>
      <c r="E242">
        <v>6.67</v>
      </c>
      <c r="F242">
        <v>11.41</v>
      </c>
      <c r="G242">
        <v>9.11</v>
      </c>
      <c r="H242">
        <v>16.059999999999999</v>
      </c>
      <c r="I242">
        <v>-0.89</v>
      </c>
      <c r="J242">
        <v>17.399999999999999</v>
      </c>
      <c r="K242">
        <v>68.8</v>
      </c>
      <c r="L242" s="50">
        <v>179.88793870000001</v>
      </c>
      <c r="M242" s="50">
        <v>61.099970509999999</v>
      </c>
      <c r="N242" s="50">
        <v>-118.78796819999999</v>
      </c>
    </row>
    <row r="243" spans="1:14" ht="16" x14ac:dyDescent="0.2">
      <c r="A243" s="17">
        <v>1419</v>
      </c>
      <c r="B243" t="s">
        <v>255</v>
      </c>
      <c r="C243">
        <v>1.21</v>
      </c>
      <c r="D243">
        <v>4.9000000000000004</v>
      </c>
      <c r="E243">
        <v>5.59</v>
      </c>
      <c r="F243">
        <v>18.77</v>
      </c>
      <c r="G243">
        <v>11.64</v>
      </c>
      <c r="H243">
        <v>18.649999999999999</v>
      </c>
      <c r="I243">
        <v>-3.91</v>
      </c>
      <c r="J243">
        <v>13.43</v>
      </c>
      <c r="K243">
        <v>94.95</v>
      </c>
      <c r="L243" s="50">
        <v>100.6465141</v>
      </c>
      <c r="M243" s="50">
        <v>11.77238045</v>
      </c>
      <c r="N243" s="50">
        <v>-88.874133610000001</v>
      </c>
    </row>
    <row r="244" spans="1:14" ht="16" x14ac:dyDescent="0.2">
      <c r="A244" s="17">
        <v>1113</v>
      </c>
      <c r="B244" t="s">
        <v>256</v>
      </c>
      <c r="C244">
        <v>1.75</v>
      </c>
      <c r="D244">
        <v>1.7</v>
      </c>
      <c r="E244">
        <v>6.14</v>
      </c>
      <c r="F244">
        <v>17.84</v>
      </c>
      <c r="G244">
        <v>13.83</v>
      </c>
      <c r="H244">
        <v>18.41</v>
      </c>
      <c r="I244">
        <v>-2.66</v>
      </c>
      <c r="J244">
        <v>15.73</v>
      </c>
      <c r="K244">
        <v>93.76</v>
      </c>
      <c r="L244" s="50">
        <v>133.93456330000001</v>
      </c>
      <c r="M244" s="50">
        <v>3.928676549</v>
      </c>
      <c r="N244" s="50">
        <v>-130.00588669999999</v>
      </c>
    </row>
    <row r="245" spans="1:14" ht="16" x14ac:dyDescent="0.2">
      <c r="A245" s="17">
        <v>913</v>
      </c>
      <c r="B245" t="s">
        <v>257</v>
      </c>
      <c r="C245">
        <v>0.56000000000000005</v>
      </c>
      <c r="D245">
        <v>-2.8</v>
      </c>
      <c r="E245">
        <v>5.39</v>
      </c>
      <c r="F245">
        <v>12.69</v>
      </c>
      <c r="G245">
        <v>7.74</v>
      </c>
      <c r="H245">
        <v>16.64</v>
      </c>
      <c r="I245">
        <v>-0.95</v>
      </c>
      <c r="J245">
        <v>14</v>
      </c>
      <c r="K245">
        <v>71.349999999999994</v>
      </c>
      <c r="L245" s="50">
        <v>162.67714659999999</v>
      </c>
      <c r="M245" s="50">
        <v>46.09503394</v>
      </c>
      <c r="N245" s="50">
        <v>-116.5821127</v>
      </c>
    </row>
    <row r="246" spans="1:14" ht="16" x14ac:dyDescent="0.2">
      <c r="A246" s="17">
        <v>1318</v>
      </c>
      <c r="B246" t="s">
        <v>258</v>
      </c>
      <c r="C246">
        <v>1.17</v>
      </c>
      <c r="D246">
        <v>-4</v>
      </c>
      <c r="E246">
        <v>7.79</v>
      </c>
      <c r="F246">
        <v>15.29</v>
      </c>
      <c r="G246">
        <v>11.35</v>
      </c>
      <c r="H246">
        <v>18</v>
      </c>
      <c r="I246">
        <v>-1.83</v>
      </c>
      <c r="J246">
        <v>17.84</v>
      </c>
      <c r="K246">
        <v>93.07</v>
      </c>
      <c r="L246" s="50">
        <v>114.09671299999999</v>
      </c>
      <c r="M246" s="50">
        <v>8.2154761290000007</v>
      </c>
      <c r="N246" s="50">
        <v>-105.8812369</v>
      </c>
    </row>
    <row r="247" spans="1:14" ht="16" x14ac:dyDescent="0.2">
      <c r="A247" s="17">
        <v>118</v>
      </c>
      <c r="B247" t="s">
        <v>259</v>
      </c>
      <c r="C247">
        <v>1.79</v>
      </c>
      <c r="D247">
        <v>-2.2000000000000002</v>
      </c>
      <c r="E247">
        <v>5.01</v>
      </c>
      <c r="F247">
        <v>15.29</v>
      </c>
      <c r="G247">
        <v>10.91</v>
      </c>
      <c r="H247">
        <v>21.25</v>
      </c>
      <c r="I247">
        <v>-0.57999999999999996</v>
      </c>
      <c r="J247">
        <v>14.94</v>
      </c>
      <c r="K247">
        <v>79.48</v>
      </c>
      <c r="L247" s="50">
        <v>126.6612538</v>
      </c>
      <c r="M247" s="50">
        <v>13.239605149999999</v>
      </c>
      <c r="N247" s="50">
        <v>-113.4216486</v>
      </c>
    </row>
    <row r="248" spans="1:14" ht="16" x14ac:dyDescent="0.2">
      <c r="A248" s="17">
        <v>119</v>
      </c>
      <c r="B248" t="s">
        <v>260</v>
      </c>
      <c r="C248">
        <v>1.1000000000000001</v>
      </c>
      <c r="D248">
        <v>6.8</v>
      </c>
      <c r="E248">
        <v>4.21</v>
      </c>
      <c r="F248">
        <v>15.49</v>
      </c>
      <c r="G248">
        <v>7.76</v>
      </c>
      <c r="H248">
        <v>16.66</v>
      </c>
      <c r="I248">
        <v>-1.24</v>
      </c>
      <c r="J248">
        <v>8.35</v>
      </c>
      <c r="K248">
        <v>87.83</v>
      </c>
      <c r="L248" s="50">
        <v>119.73319549999999</v>
      </c>
      <c r="M248" s="50">
        <v>19.26769693</v>
      </c>
      <c r="N248" s="50">
        <v>-100.4654986</v>
      </c>
    </row>
    <row r="249" spans="1:14" ht="16" x14ac:dyDescent="0.2">
      <c r="A249" s="17">
        <v>1608</v>
      </c>
      <c r="B249" t="s">
        <v>261</v>
      </c>
      <c r="C249">
        <v>4</v>
      </c>
      <c r="D249">
        <v>-6.4</v>
      </c>
      <c r="E249">
        <v>7.48</v>
      </c>
      <c r="F249">
        <v>11.76</v>
      </c>
      <c r="G249">
        <v>13.16</v>
      </c>
      <c r="H249">
        <v>28.91</v>
      </c>
      <c r="I249">
        <v>-1.25</v>
      </c>
      <c r="J249">
        <v>25.82</v>
      </c>
      <c r="K249">
        <v>84.82</v>
      </c>
      <c r="L249" s="50">
        <v>135.1253442</v>
      </c>
      <c r="M249" s="50">
        <v>25.719460949999998</v>
      </c>
      <c r="N249" s="50">
        <v>-109.40588320000001</v>
      </c>
    </row>
    <row r="250" spans="1:14" ht="16" x14ac:dyDescent="0.2">
      <c r="A250" s="17">
        <v>1315</v>
      </c>
      <c r="B250" t="s">
        <v>262</v>
      </c>
      <c r="C250">
        <v>0.54</v>
      </c>
      <c r="D250">
        <v>-2.1</v>
      </c>
      <c r="E250">
        <v>10.02</v>
      </c>
      <c r="F250">
        <v>18.899999999999999</v>
      </c>
      <c r="G250">
        <v>12.1</v>
      </c>
      <c r="H250">
        <v>16.54</v>
      </c>
      <c r="I250">
        <v>-3.11</v>
      </c>
      <c r="J250">
        <v>41.61</v>
      </c>
      <c r="K250">
        <v>92.74</v>
      </c>
      <c r="L250" s="50">
        <v>99.256070940000001</v>
      </c>
      <c r="M250" s="50">
        <v>3.0910821629999998</v>
      </c>
      <c r="N250" s="50">
        <v>-96.164988769999994</v>
      </c>
    </row>
    <row r="251" spans="1:14" ht="16" x14ac:dyDescent="0.2">
      <c r="A251" s="17">
        <v>1712</v>
      </c>
      <c r="B251" t="s">
        <v>263</v>
      </c>
      <c r="C251">
        <v>0.17</v>
      </c>
      <c r="D251">
        <v>2</v>
      </c>
      <c r="E251">
        <v>6.79</v>
      </c>
      <c r="F251">
        <v>8.51</v>
      </c>
      <c r="G251">
        <v>8.66</v>
      </c>
      <c r="H251">
        <v>15.8</v>
      </c>
      <c r="I251">
        <v>-0.42</v>
      </c>
      <c r="J251">
        <v>39.159999999999997</v>
      </c>
      <c r="K251">
        <v>63.94</v>
      </c>
      <c r="L251" s="50">
        <v>256.49640040000003</v>
      </c>
      <c r="M251" s="50">
        <v>31.840246830000002</v>
      </c>
      <c r="N251" s="50">
        <v>-224.65615360000001</v>
      </c>
    </row>
    <row r="252" spans="1:14" ht="16" x14ac:dyDescent="0.2">
      <c r="A252" s="17">
        <v>712</v>
      </c>
      <c r="B252" t="s">
        <v>264</v>
      </c>
      <c r="C252">
        <v>1.6</v>
      </c>
      <c r="D252">
        <v>-3.3</v>
      </c>
      <c r="E252">
        <v>5.25</v>
      </c>
      <c r="F252">
        <v>13.91</v>
      </c>
      <c r="G252">
        <v>13.02</v>
      </c>
      <c r="H252">
        <v>18.649999999999999</v>
      </c>
      <c r="I252">
        <v>-8.15</v>
      </c>
      <c r="J252">
        <v>19.88</v>
      </c>
      <c r="K252">
        <v>93.11</v>
      </c>
      <c r="L252" s="50">
        <v>112.0302737</v>
      </c>
      <c r="M252" s="50">
        <v>38.131655369999997</v>
      </c>
      <c r="N252" s="50">
        <v>-73.898618319999997</v>
      </c>
    </row>
    <row r="253" spans="1:14" ht="16" x14ac:dyDescent="0.2">
      <c r="A253" s="17">
        <v>713</v>
      </c>
      <c r="B253" t="s">
        <v>265</v>
      </c>
      <c r="C253">
        <v>0.64</v>
      </c>
      <c r="D253">
        <v>10.1</v>
      </c>
      <c r="E253">
        <v>5.5</v>
      </c>
      <c r="F253">
        <v>12.56</v>
      </c>
      <c r="G253">
        <v>14.49</v>
      </c>
      <c r="H253">
        <v>21.45</v>
      </c>
      <c r="I253">
        <v>-10.4</v>
      </c>
      <c r="J253">
        <v>28.56</v>
      </c>
      <c r="K253">
        <v>78.83</v>
      </c>
      <c r="L253" s="50">
        <v>144.2219364</v>
      </c>
      <c r="M253" s="50">
        <v>81.530406029999995</v>
      </c>
      <c r="N253" s="50">
        <v>-62.691530409999999</v>
      </c>
    </row>
    <row r="254" spans="1:14" ht="16" x14ac:dyDescent="0.2">
      <c r="A254" s="17">
        <v>1609</v>
      </c>
      <c r="B254" t="s">
        <v>266</v>
      </c>
      <c r="C254">
        <v>1.66</v>
      </c>
      <c r="D254">
        <v>-2.9</v>
      </c>
      <c r="E254">
        <v>6.14</v>
      </c>
      <c r="F254">
        <v>20.52</v>
      </c>
      <c r="G254">
        <v>11</v>
      </c>
      <c r="H254">
        <v>16.809999999999999</v>
      </c>
      <c r="I254">
        <v>-2.84</v>
      </c>
      <c r="J254">
        <v>17.16</v>
      </c>
      <c r="K254">
        <v>92.08</v>
      </c>
      <c r="L254" s="50">
        <v>122.78213150000001</v>
      </c>
      <c r="M254" s="50">
        <v>4.1040159989999996</v>
      </c>
      <c r="N254" s="50">
        <v>-118.6781155</v>
      </c>
    </row>
    <row r="255" spans="1:14" ht="16" x14ac:dyDescent="0.2">
      <c r="A255" s="17">
        <v>214</v>
      </c>
      <c r="B255" t="s">
        <v>267</v>
      </c>
      <c r="C255">
        <v>1.26</v>
      </c>
      <c r="D255">
        <v>-0.3</v>
      </c>
      <c r="E255">
        <v>8.35</v>
      </c>
      <c r="F255">
        <v>12.99</v>
      </c>
      <c r="G255">
        <v>14.99</v>
      </c>
      <c r="H255">
        <v>21.75</v>
      </c>
      <c r="I255">
        <v>-8.81</v>
      </c>
      <c r="J255">
        <v>65.78</v>
      </c>
      <c r="K255">
        <v>79.42</v>
      </c>
      <c r="L255" s="50">
        <v>135.68417020000001</v>
      </c>
      <c r="M255" s="50">
        <v>80.147566119999993</v>
      </c>
      <c r="N255" s="50">
        <v>-55.536604060000002</v>
      </c>
    </row>
    <row r="256" spans="1:14" ht="16" x14ac:dyDescent="0.2">
      <c r="A256" s="17">
        <v>311</v>
      </c>
      <c r="B256" t="s">
        <v>268</v>
      </c>
      <c r="C256">
        <v>0.17</v>
      </c>
      <c r="D256">
        <v>-4</v>
      </c>
      <c r="E256">
        <v>8.93</v>
      </c>
      <c r="F256">
        <v>10.85</v>
      </c>
      <c r="G256">
        <v>11.52</v>
      </c>
      <c r="H256">
        <v>15.98</v>
      </c>
      <c r="I256">
        <v>-1.39</v>
      </c>
      <c r="J256">
        <v>22.76</v>
      </c>
      <c r="K256">
        <v>67.5</v>
      </c>
      <c r="L256" s="50">
        <v>114.0190032</v>
      </c>
      <c r="M256" s="50">
        <v>33.85480913</v>
      </c>
      <c r="N256" s="50">
        <v>-80.164194030000004</v>
      </c>
    </row>
    <row r="257" spans="1:14" ht="16" x14ac:dyDescent="0.2">
      <c r="A257" s="17">
        <v>510</v>
      </c>
      <c r="B257" t="s">
        <v>269</v>
      </c>
      <c r="C257">
        <v>1.23</v>
      </c>
      <c r="D257">
        <v>-6.5</v>
      </c>
      <c r="E257">
        <v>4.79</v>
      </c>
      <c r="F257">
        <v>10.51</v>
      </c>
      <c r="G257">
        <v>4.49</v>
      </c>
      <c r="H257">
        <v>18.41</v>
      </c>
      <c r="I257">
        <v>-0.63</v>
      </c>
      <c r="J257">
        <v>12.93</v>
      </c>
      <c r="K257">
        <v>67.42</v>
      </c>
      <c r="L257" s="50">
        <v>118.4638109</v>
      </c>
      <c r="M257" s="50">
        <v>145.6100443</v>
      </c>
      <c r="N257" s="50">
        <v>27.146233380000002</v>
      </c>
    </row>
    <row r="258" spans="1:14" ht="16" x14ac:dyDescent="0.2">
      <c r="A258" s="17">
        <v>815</v>
      </c>
      <c r="B258" t="s">
        <v>270</v>
      </c>
      <c r="C258">
        <v>2.04</v>
      </c>
      <c r="D258">
        <v>3.2</v>
      </c>
      <c r="E258">
        <v>9.48</v>
      </c>
      <c r="F258">
        <v>14.84</v>
      </c>
      <c r="G258">
        <v>18.39</v>
      </c>
      <c r="H258">
        <v>18.170000000000002</v>
      </c>
      <c r="I258">
        <v>-3.23</v>
      </c>
      <c r="J258">
        <v>11.06</v>
      </c>
      <c r="K258">
        <v>67.19</v>
      </c>
      <c r="L258" s="50">
        <v>177.95004309999999</v>
      </c>
      <c r="M258" s="50">
        <v>57.676141260000001</v>
      </c>
      <c r="N258" s="50">
        <v>-120.2739018</v>
      </c>
    </row>
    <row r="259" spans="1:14" ht="16" x14ac:dyDescent="0.2">
      <c r="A259" s="17">
        <v>1316</v>
      </c>
      <c r="B259" t="s">
        <v>271</v>
      </c>
      <c r="C259">
        <v>0.67</v>
      </c>
      <c r="D259">
        <v>-2.9</v>
      </c>
      <c r="E259">
        <v>7.78</v>
      </c>
      <c r="F259">
        <v>18.920000000000002</v>
      </c>
      <c r="G259">
        <v>13.09</v>
      </c>
      <c r="H259">
        <v>17.12</v>
      </c>
      <c r="I259">
        <v>-1.96</v>
      </c>
      <c r="J259">
        <v>15.48</v>
      </c>
      <c r="K259">
        <v>93.59</v>
      </c>
      <c r="L259" s="50">
        <v>112.31588309999999</v>
      </c>
      <c r="M259" s="50">
        <v>4.0992434299999996</v>
      </c>
      <c r="N259" s="50">
        <v>-108.2166397</v>
      </c>
    </row>
    <row r="260" spans="1:14" ht="16" x14ac:dyDescent="0.2">
      <c r="A260" s="17">
        <v>410</v>
      </c>
      <c r="B260" t="s">
        <v>272</v>
      </c>
      <c r="C260">
        <v>-0.1</v>
      </c>
      <c r="D260">
        <v>-5.7</v>
      </c>
      <c r="E260">
        <v>9.09</v>
      </c>
      <c r="F260">
        <v>11.1</v>
      </c>
      <c r="G260">
        <v>7.93</v>
      </c>
      <c r="H260">
        <v>19.75</v>
      </c>
      <c r="I260">
        <v>-1.21</v>
      </c>
      <c r="J260">
        <v>24.99</v>
      </c>
      <c r="K260">
        <v>65.900000000000006</v>
      </c>
      <c r="L260" s="50">
        <v>188.24306469999999</v>
      </c>
      <c r="M260" s="50">
        <v>61.85435931</v>
      </c>
      <c r="N260" s="50">
        <v>-126.38870540000001</v>
      </c>
    </row>
    <row r="261" spans="1:14" ht="16" x14ac:dyDescent="0.2">
      <c r="A261" s="17">
        <v>1114</v>
      </c>
      <c r="B261" t="s">
        <v>273</v>
      </c>
      <c r="C261">
        <v>2.11</v>
      </c>
      <c r="D261">
        <v>-1.5</v>
      </c>
      <c r="E261">
        <v>7.83</v>
      </c>
      <c r="F261">
        <v>21.34</v>
      </c>
      <c r="G261">
        <v>13.47</v>
      </c>
      <c r="H261">
        <v>17.62</v>
      </c>
      <c r="I261">
        <v>-7.06</v>
      </c>
      <c r="J261">
        <v>19.05</v>
      </c>
      <c r="K261">
        <v>98.94</v>
      </c>
      <c r="L261" s="50">
        <v>94.813372939999994</v>
      </c>
      <c r="M261" s="50">
        <v>1.977614921</v>
      </c>
      <c r="N261" s="50">
        <v>-92.83575802</v>
      </c>
    </row>
    <row r="262" spans="1:14" ht="16" x14ac:dyDescent="0.2">
      <c r="A262" s="17">
        <v>1420</v>
      </c>
      <c r="B262" t="s">
        <v>274</v>
      </c>
      <c r="C262">
        <v>0.46</v>
      </c>
      <c r="D262">
        <v>0.6</v>
      </c>
      <c r="E262">
        <v>6.69</v>
      </c>
      <c r="F262">
        <v>18.32</v>
      </c>
      <c r="G262">
        <v>13.07</v>
      </c>
      <c r="H262">
        <v>23.74</v>
      </c>
      <c r="I262">
        <v>-4.16</v>
      </c>
      <c r="J262">
        <v>26.21</v>
      </c>
      <c r="K262">
        <v>77.180000000000007</v>
      </c>
      <c r="L262" s="50">
        <v>77.345035659999994</v>
      </c>
      <c r="M262" s="50">
        <v>45.60888645</v>
      </c>
      <c r="N262" s="50">
        <v>-31.7361492</v>
      </c>
    </row>
    <row r="263" spans="1:14" ht="16" x14ac:dyDescent="0.2">
      <c r="A263" s="17">
        <v>1610</v>
      </c>
      <c r="B263" t="s">
        <v>275</v>
      </c>
      <c r="C263">
        <v>2.6</v>
      </c>
      <c r="D263">
        <v>-0.8</v>
      </c>
      <c r="E263">
        <v>5.76</v>
      </c>
      <c r="F263">
        <v>13.85</v>
      </c>
      <c r="G263">
        <v>12.01</v>
      </c>
      <c r="H263">
        <v>24.18</v>
      </c>
      <c r="I263">
        <v>-1.05</v>
      </c>
      <c r="J263">
        <v>10.66</v>
      </c>
      <c r="K263">
        <v>84.89</v>
      </c>
      <c r="L263" s="50">
        <v>120.3642016</v>
      </c>
      <c r="M263" s="50">
        <v>41.226959800000003</v>
      </c>
      <c r="N263" s="50">
        <v>-79.137241840000002</v>
      </c>
    </row>
    <row r="264" spans="1:14" ht="16" x14ac:dyDescent="0.2">
      <c r="A264" s="17">
        <v>312</v>
      </c>
      <c r="B264" t="s">
        <v>276</v>
      </c>
      <c r="C264">
        <v>1.24</v>
      </c>
      <c r="D264">
        <v>-2.5</v>
      </c>
      <c r="E264">
        <v>6.99</v>
      </c>
      <c r="F264">
        <v>16.38</v>
      </c>
      <c r="G264">
        <v>11.59</v>
      </c>
      <c r="H264">
        <v>15.82</v>
      </c>
      <c r="I264">
        <v>-1.78</v>
      </c>
      <c r="J264">
        <v>13.41</v>
      </c>
      <c r="K264">
        <v>92.12</v>
      </c>
      <c r="L264" s="50">
        <v>111.1616599</v>
      </c>
      <c r="M264" s="50">
        <v>2.6165687179999999</v>
      </c>
      <c r="N264" s="50">
        <v>-108.54509109999999</v>
      </c>
    </row>
    <row r="265" spans="1:14" ht="16" x14ac:dyDescent="0.2">
      <c r="A265" s="17">
        <v>914</v>
      </c>
      <c r="B265" t="s">
        <v>277</v>
      </c>
      <c r="C265">
        <v>0.25</v>
      </c>
      <c r="D265">
        <v>3.7</v>
      </c>
      <c r="E265">
        <v>6.63</v>
      </c>
      <c r="F265">
        <v>11.34</v>
      </c>
      <c r="G265">
        <v>8.44</v>
      </c>
      <c r="H265">
        <v>17.53</v>
      </c>
      <c r="I265">
        <v>-1.1399999999999999</v>
      </c>
      <c r="J265">
        <v>17.28</v>
      </c>
      <c r="K265">
        <v>71.959999999999994</v>
      </c>
      <c r="L265" s="50">
        <v>204.66814859999999</v>
      </c>
      <c r="M265" s="50">
        <v>56.75134963</v>
      </c>
      <c r="N265" s="50">
        <v>-147.916799</v>
      </c>
    </row>
    <row r="266" spans="1:14" ht="16" x14ac:dyDescent="0.2">
      <c r="A266" s="17">
        <v>1317</v>
      </c>
      <c r="B266" t="s">
        <v>278</v>
      </c>
      <c r="C266">
        <v>1.1299999999999999</v>
      </c>
      <c r="D266">
        <v>-4.0999999999999996</v>
      </c>
      <c r="E266">
        <v>11.18</v>
      </c>
      <c r="F266">
        <v>22.95</v>
      </c>
      <c r="G266">
        <v>12.13</v>
      </c>
      <c r="H266">
        <v>14.37</v>
      </c>
      <c r="I266">
        <v>-2.81</v>
      </c>
      <c r="J266">
        <v>52.47</v>
      </c>
      <c r="K266">
        <v>100.98</v>
      </c>
      <c r="L266" s="50">
        <v>127.5326407</v>
      </c>
      <c r="M266" s="50">
        <v>1.073238184</v>
      </c>
      <c r="N266" s="50">
        <v>-126.4594026</v>
      </c>
    </row>
    <row r="267" spans="1:14" ht="16" x14ac:dyDescent="0.2">
      <c r="A267" s="17">
        <v>1822</v>
      </c>
      <c r="B267" t="s">
        <v>279</v>
      </c>
      <c r="C267">
        <v>0.19</v>
      </c>
      <c r="D267">
        <v>-6.6</v>
      </c>
      <c r="E267">
        <v>8.43</v>
      </c>
      <c r="F267">
        <v>11.94</v>
      </c>
      <c r="G267">
        <v>11.66</v>
      </c>
      <c r="H267">
        <v>18.21</v>
      </c>
      <c r="I267">
        <v>-1.05</v>
      </c>
      <c r="J267">
        <v>22.78</v>
      </c>
      <c r="K267">
        <v>66.86</v>
      </c>
      <c r="L267" s="50">
        <v>118.24973319999999</v>
      </c>
      <c r="M267" s="50">
        <v>78.204909279999995</v>
      </c>
      <c r="N267" s="50">
        <v>-40.044823909999998</v>
      </c>
    </row>
    <row r="268" spans="1:14" ht="16" x14ac:dyDescent="0.2">
      <c r="A268" s="17">
        <v>617</v>
      </c>
      <c r="B268" t="s">
        <v>280</v>
      </c>
      <c r="C268">
        <v>1.18</v>
      </c>
      <c r="D268">
        <v>-3</v>
      </c>
      <c r="E268">
        <v>5.52</v>
      </c>
      <c r="F268">
        <v>12.47</v>
      </c>
      <c r="G268">
        <v>11.97</v>
      </c>
      <c r="H268">
        <v>18.29</v>
      </c>
      <c r="I268">
        <v>-1.17</v>
      </c>
      <c r="J268">
        <v>21.02</v>
      </c>
      <c r="K268">
        <v>77.8</v>
      </c>
      <c r="L268" s="50">
        <v>112.69818600000001</v>
      </c>
      <c r="M268" s="50">
        <v>48.377374660000001</v>
      </c>
      <c r="N268" s="50">
        <v>-64.320811309999996</v>
      </c>
    </row>
    <row r="269" spans="1:14" ht="16" x14ac:dyDescent="0.2">
      <c r="A269" s="17">
        <v>1713</v>
      </c>
      <c r="B269" t="s">
        <v>281</v>
      </c>
      <c r="C269">
        <v>0.55000000000000004</v>
      </c>
      <c r="D269">
        <v>1.4</v>
      </c>
      <c r="E269">
        <v>8.65</v>
      </c>
      <c r="F269">
        <v>10.75</v>
      </c>
      <c r="G269">
        <v>11.22</v>
      </c>
      <c r="H269">
        <v>13.44</v>
      </c>
      <c r="I269">
        <v>-0.65</v>
      </c>
      <c r="J269">
        <v>34.17</v>
      </c>
      <c r="K269">
        <v>70.25</v>
      </c>
      <c r="L269" s="50">
        <v>142.45739</v>
      </c>
      <c r="M269" s="50">
        <v>35.142033410000003</v>
      </c>
      <c r="N269" s="50">
        <v>-107.3153566</v>
      </c>
    </row>
    <row r="270" spans="1:14" ht="16" x14ac:dyDescent="0.2">
      <c r="A270" s="17">
        <v>1714</v>
      </c>
      <c r="B270" t="s">
        <v>282</v>
      </c>
      <c r="C270">
        <v>1.52</v>
      </c>
      <c r="D270">
        <v>1</v>
      </c>
      <c r="E270">
        <v>6.91</v>
      </c>
      <c r="F270">
        <v>26.4</v>
      </c>
      <c r="G270">
        <v>12.24</v>
      </c>
      <c r="H270">
        <v>16.260000000000002</v>
      </c>
      <c r="I270">
        <v>-1.42</v>
      </c>
      <c r="J270">
        <v>34.81</v>
      </c>
      <c r="K270">
        <v>99.07</v>
      </c>
      <c r="L270" s="50">
        <v>140.3052481</v>
      </c>
      <c r="M270" s="50">
        <v>5.8664489199999998</v>
      </c>
      <c r="N270" s="50">
        <v>-134.43879920000001</v>
      </c>
    </row>
    <row r="271" spans="1:14" ht="16" x14ac:dyDescent="0.2">
      <c r="A271" s="17">
        <v>816</v>
      </c>
      <c r="B271" t="s">
        <v>283</v>
      </c>
      <c r="C271">
        <v>0.64</v>
      </c>
      <c r="D271">
        <v>3.3</v>
      </c>
      <c r="E271">
        <v>13.16</v>
      </c>
      <c r="F271">
        <v>13.75</v>
      </c>
      <c r="G271">
        <v>18.149999999999999</v>
      </c>
      <c r="H271">
        <v>25.34</v>
      </c>
      <c r="I271">
        <v>-6.54</v>
      </c>
      <c r="J271">
        <v>32.9</v>
      </c>
      <c r="K271">
        <v>93.83</v>
      </c>
      <c r="L271" s="50">
        <v>132.78359230000001</v>
      </c>
      <c r="M271" s="50">
        <v>18.04049054</v>
      </c>
      <c r="N271" s="50">
        <v>-114.74310180000001</v>
      </c>
    </row>
    <row r="272" spans="1:14" ht="16" x14ac:dyDescent="0.2">
      <c r="A272" s="17">
        <v>511</v>
      </c>
      <c r="B272" t="s">
        <v>284</v>
      </c>
      <c r="C272">
        <v>2.0099999999999998</v>
      </c>
      <c r="D272">
        <v>0.4</v>
      </c>
      <c r="E272">
        <v>6.48</v>
      </c>
      <c r="F272">
        <v>9.6300000000000008</v>
      </c>
      <c r="G272">
        <v>5.16</v>
      </c>
      <c r="H272">
        <v>18.559999999999999</v>
      </c>
      <c r="I272">
        <v>-2.35</v>
      </c>
      <c r="J272">
        <v>23.37</v>
      </c>
      <c r="K272">
        <v>73.930000000000007</v>
      </c>
      <c r="L272" s="50">
        <v>94.724570099999994</v>
      </c>
      <c r="M272" s="50">
        <v>152.04896529999999</v>
      </c>
      <c r="N272" s="50">
        <v>57.32439522</v>
      </c>
    </row>
    <row r="273" spans="1:14" ht="16" x14ac:dyDescent="0.2">
      <c r="A273" s="17">
        <v>313</v>
      </c>
      <c r="B273" t="s">
        <v>285</v>
      </c>
      <c r="C273">
        <v>0.85</v>
      </c>
      <c r="D273">
        <v>0.6</v>
      </c>
      <c r="E273">
        <v>6.72</v>
      </c>
      <c r="F273">
        <v>13.51</v>
      </c>
      <c r="G273">
        <v>12.57</v>
      </c>
      <c r="H273">
        <v>20.07</v>
      </c>
      <c r="I273">
        <v>-1.25</v>
      </c>
      <c r="J273">
        <v>7.2</v>
      </c>
      <c r="K273">
        <v>74.23</v>
      </c>
      <c r="L273" s="50">
        <v>116.3063159</v>
      </c>
      <c r="M273" s="50">
        <v>6.6744062199999998</v>
      </c>
      <c r="N273" s="50">
        <v>-109.63190969999999</v>
      </c>
    </row>
    <row r="274" spans="1:14" ht="16" x14ac:dyDescent="0.2">
      <c r="A274" s="17">
        <v>714</v>
      </c>
      <c r="B274" t="s">
        <v>286</v>
      </c>
      <c r="C274">
        <v>0.7</v>
      </c>
      <c r="D274">
        <v>12.6</v>
      </c>
      <c r="E274">
        <v>5.2</v>
      </c>
      <c r="F274">
        <v>13.38</v>
      </c>
      <c r="G274">
        <v>12.92</v>
      </c>
      <c r="H274">
        <v>21.65</v>
      </c>
      <c r="I274">
        <v>-9.31</v>
      </c>
      <c r="J274">
        <v>20.69</v>
      </c>
      <c r="K274">
        <v>82.79</v>
      </c>
      <c r="L274" s="50">
        <v>121.2408561</v>
      </c>
      <c r="M274" s="50">
        <v>60.544567870000002</v>
      </c>
      <c r="N274" s="50">
        <v>-60.696288269999997</v>
      </c>
    </row>
    <row r="275" spans="1:14" ht="16" x14ac:dyDescent="0.2">
      <c r="A275" s="17">
        <v>411</v>
      </c>
      <c r="B275" t="s">
        <v>287</v>
      </c>
      <c r="C275">
        <v>0.63</v>
      </c>
      <c r="D275">
        <v>-3.2</v>
      </c>
      <c r="E275">
        <v>6.08</v>
      </c>
      <c r="F275">
        <v>9.86</v>
      </c>
      <c r="G275">
        <v>3.12</v>
      </c>
      <c r="H275">
        <v>12.33</v>
      </c>
      <c r="I275">
        <v>-0.7</v>
      </c>
      <c r="J275">
        <v>21.33</v>
      </c>
      <c r="K275">
        <v>63.16</v>
      </c>
      <c r="L275" s="50">
        <v>170.28985510000001</v>
      </c>
      <c r="M275" s="50">
        <v>113.2898551</v>
      </c>
      <c r="N275" s="50">
        <v>-57</v>
      </c>
    </row>
    <row r="276" spans="1:14" ht="16" x14ac:dyDescent="0.2">
      <c r="A276" s="17">
        <v>412</v>
      </c>
      <c r="B276" t="s">
        <v>288</v>
      </c>
      <c r="C276">
        <v>0.2</v>
      </c>
      <c r="D276">
        <v>-3</v>
      </c>
      <c r="E276">
        <v>6.89</v>
      </c>
      <c r="F276">
        <v>8.31</v>
      </c>
      <c r="G276">
        <v>6.68</v>
      </c>
      <c r="H276">
        <v>14.52</v>
      </c>
      <c r="I276">
        <v>-0.87</v>
      </c>
      <c r="J276">
        <v>37.06</v>
      </c>
      <c r="K276">
        <v>61.86</v>
      </c>
      <c r="L276" s="50">
        <v>253.5414481</v>
      </c>
      <c r="M276" s="50">
        <v>68.542759709999999</v>
      </c>
      <c r="N276" s="50">
        <v>-184.99868839999999</v>
      </c>
    </row>
    <row r="277" spans="1:14" ht="16" x14ac:dyDescent="0.2">
      <c r="A277" s="17">
        <v>1823</v>
      </c>
      <c r="B277" t="s">
        <v>289</v>
      </c>
      <c r="C277">
        <v>1.71</v>
      </c>
      <c r="D277">
        <v>0.6</v>
      </c>
      <c r="E277">
        <v>7.02</v>
      </c>
      <c r="F277">
        <v>25.77</v>
      </c>
      <c r="G277">
        <v>12.86</v>
      </c>
      <c r="H277">
        <v>18.55</v>
      </c>
      <c r="I277">
        <v>-1.24</v>
      </c>
      <c r="J277">
        <v>30.98</v>
      </c>
      <c r="K277">
        <v>96.78</v>
      </c>
      <c r="L277" s="50">
        <v>122.70917919999999</v>
      </c>
      <c r="M277" s="50">
        <v>2.9773436950000001</v>
      </c>
      <c r="N277" s="50">
        <v>-119.7318355</v>
      </c>
    </row>
    <row r="278" spans="1:14" ht="16" x14ac:dyDescent="0.2">
      <c r="A278" s="17">
        <v>314</v>
      </c>
      <c r="B278" t="s">
        <v>290</v>
      </c>
      <c r="C278">
        <v>1.08</v>
      </c>
      <c r="D278">
        <v>-1.3</v>
      </c>
      <c r="E278">
        <v>6.79</v>
      </c>
      <c r="F278">
        <v>11.63</v>
      </c>
      <c r="G278">
        <v>14.1</v>
      </c>
      <c r="H278">
        <v>16.12</v>
      </c>
      <c r="I278">
        <v>-2.0099999999999998</v>
      </c>
      <c r="J278">
        <v>5.62</v>
      </c>
      <c r="K278">
        <v>81.44</v>
      </c>
      <c r="L278" s="50">
        <v>93.166154610000007</v>
      </c>
      <c r="M278" s="50">
        <v>13.3517396</v>
      </c>
      <c r="N278" s="50">
        <v>-79.814415010000005</v>
      </c>
    </row>
    <row r="279" spans="1:14" ht="16" x14ac:dyDescent="0.2">
      <c r="A279" s="17">
        <v>1824</v>
      </c>
      <c r="B279" t="s">
        <v>291</v>
      </c>
      <c r="C279">
        <v>0.75</v>
      </c>
      <c r="D279">
        <v>0.6</v>
      </c>
      <c r="E279">
        <v>7.81</v>
      </c>
      <c r="F279">
        <v>12.41</v>
      </c>
      <c r="G279">
        <v>11</v>
      </c>
      <c r="H279">
        <v>18.84</v>
      </c>
      <c r="I279">
        <v>-0.61</v>
      </c>
      <c r="J279">
        <v>6.79</v>
      </c>
      <c r="K279">
        <v>68.94</v>
      </c>
      <c r="L279" s="50">
        <v>114.0179215</v>
      </c>
      <c r="M279" s="50">
        <v>42.865382629999999</v>
      </c>
      <c r="N279" s="50">
        <v>-71.152538879999994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F024-6DA1-4B6D-9DF2-3B7B067AEA88}">
  <dimension ref="A1:G19"/>
  <sheetViews>
    <sheetView showGridLines="0" tabSelected="1" topLeftCell="A4" workbookViewId="0">
      <selection activeCell="E9" sqref="E9"/>
    </sheetView>
  </sheetViews>
  <sheetFormatPr baseColWidth="10" defaultColWidth="8.83203125" defaultRowHeight="13" x14ac:dyDescent="0.15"/>
  <cols>
    <col min="2" max="2" width="24" bestFit="1" customWidth="1"/>
    <col min="3" max="3" width="36.5" bestFit="1" customWidth="1"/>
    <col min="4" max="4" width="14.33203125" bestFit="1" customWidth="1"/>
    <col min="5" max="5" width="18.33203125" bestFit="1" customWidth="1"/>
    <col min="6" max="6" width="47" customWidth="1"/>
    <col min="7" max="7" width="9.6640625" bestFit="1" customWidth="1"/>
  </cols>
  <sheetData>
    <row r="1" spans="1:7" ht="16" x14ac:dyDescent="0.2">
      <c r="A1" s="17"/>
      <c r="B1" s="17"/>
      <c r="C1" s="22"/>
      <c r="D1" s="17"/>
      <c r="E1" s="17"/>
      <c r="F1" s="22"/>
      <c r="G1" s="17"/>
    </row>
    <row r="2" spans="1:7" ht="20" x14ac:dyDescent="0.25">
      <c r="A2" s="17"/>
      <c r="B2" s="18" t="s">
        <v>292</v>
      </c>
      <c r="C2" s="23" t="s">
        <v>1</v>
      </c>
      <c r="D2" s="18" t="s">
        <v>293</v>
      </c>
      <c r="E2" s="18" t="s">
        <v>294</v>
      </c>
      <c r="F2" s="23" t="s">
        <v>295</v>
      </c>
      <c r="G2" s="18" t="s">
        <v>296</v>
      </c>
    </row>
    <row r="3" spans="1:7" ht="29" x14ac:dyDescent="0.35">
      <c r="A3" s="17"/>
      <c r="B3" s="19" t="s">
        <v>297</v>
      </c>
      <c r="C3" s="21" t="s">
        <v>298</v>
      </c>
      <c r="D3" s="20" t="s">
        <v>298</v>
      </c>
      <c r="E3" s="20" t="s">
        <v>298</v>
      </c>
      <c r="F3" s="21" t="s">
        <v>298</v>
      </c>
      <c r="G3" s="20" t="s">
        <v>298</v>
      </c>
    </row>
    <row r="4" spans="1:7" ht="34" x14ac:dyDescent="0.2">
      <c r="A4" s="17"/>
      <c r="B4" s="24" t="s">
        <v>7</v>
      </c>
      <c r="C4" s="25" t="s">
        <v>299</v>
      </c>
      <c r="D4" s="26" t="s">
        <v>300</v>
      </c>
      <c r="E4" s="27" t="s">
        <v>301</v>
      </c>
      <c r="F4" s="28" t="s">
        <v>302</v>
      </c>
      <c r="G4" s="29" t="s">
        <v>303</v>
      </c>
    </row>
    <row r="5" spans="1:7" ht="34" x14ac:dyDescent="0.2">
      <c r="A5" s="17"/>
      <c r="B5" s="30" t="s">
        <v>8</v>
      </c>
      <c r="C5" s="31" t="s">
        <v>304</v>
      </c>
      <c r="D5" s="32" t="s">
        <v>300</v>
      </c>
      <c r="E5" s="33" t="s">
        <v>301</v>
      </c>
      <c r="F5" s="34" t="s">
        <v>305</v>
      </c>
      <c r="G5" s="35" t="s">
        <v>303</v>
      </c>
    </row>
    <row r="6" spans="1:7" ht="34" x14ac:dyDescent="0.2">
      <c r="A6" s="17"/>
      <c r="B6" s="24" t="s">
        <v>306</v>
      </c>
      <c r="C6" s="25" t="s">
        <v>307</v>
      </c>
      <c r="D6" s="26" t="s">
        <v>300</v>
      </c>
      <c r="E6" s="27" t="s">
        <v>301</v>
      </c>
      <c r="F6" s="28" t="s">
        <v>308</v>
      </c>
      <c r="G6" s="29" t="s">
        <v>303</v>
      </c>
    </row>
    <row r="7" spans="1:7" ht="32" x14ac:dyDescent="0.2">
      <c r="A7" s="17"/>
      <c r="B7" s="36" t="s">
        <v>309</v>
      </c>
      <c r="C7" s="37" t="s">
        <v>298</v>
      </c>
      <c r="D7" s="38" t="s">
        <v>298</v>
      </c>
      <c r="E7" s="39" t="s">
        <v>298</v>
      </c>
      <c r="F7" s="40" t="s">
        <v>298</v>
      </c>
      <c r="G7" s="41" t="s">
        <v>298</v>
      </c>
    </row>
    <row r="8" spans="1:7" ht="102" x14ac:dyDescent="0.2">
      <c r="A8" s="17"/>
      <c r="B8" s="24" t="s">
        <v>310</v>
      </c>
      <c r="C8" s="25" t="s">
        <v>311</v>
      </c>
      <c r="D8" s="26" t="s">
        <v>312</v>
      </c>
      <c r="E8" s="27" t="s">
        <v>301</v>
      </c>
      <c r="F8" s="28" t="s">
        <v>313</v>
      </c>
      <c r="G8" s="29" t="s">
        <v>303</v>
      </c>
    </row>
    <row r="9" spans="1:7" ht="34" x14ac:dyDescent="0.2">
      <c r="A9" s="17"/>
      <c r="B9" s="30" t="s">
        <v>314</v>
      </c>
      <c r="C9" s="31" t="s">
        <v>315</v>
      </c>
      <c r="D9" s="32" t="s">
        <v>316</v>
      </c>
      <c r="E9" s="33" t="s">
        <v>665</v>
      </c>
      <c r="F9" s="34" t="s">
        <v>318</v>
      </c>
      <c r="G9" s="35" t="s">
        <v>303</v>
      </c>
    </row>
    <row r="10" spans="1:7" ht="119" x14ac:dyDescent="0.2">
      <c r="A10" s="17"/>
      <c r="B10" s="24" t="s">
        <v>3</v>
      </c>
      <c r="C10" s="25" t="s">
        <v>319</v>
      </c>
      <c r="D10" s="26" t="s">
        <v>300</v>
      </c>
      <c r="E10" s="27" t="s">
        <v>301</v>
      </c>
      <c r="F10" s="42" t="s">
        <v>320</v>
      </c>
      <c r="G10" s="29" t="s">
        <v>303</v>
      </c>
    </row>
    <row r="11" spans="1:7" ht="42" x14ac:dyDescent="0.2">
      <c r="A11" s="17"/>
      <c r="B11" s="30" t="s">
        <v>321</v>
      </c>
      <c r="C11" s="31" t="s">
        <v>322</v>
      </c>
      <c r="D11" s="32">
        <v>2021</v>
      </c>
      <c r="E11" s="33" t="s">
        <v>317</v>
      </c>
      <c r="F11" s="43" t="s">
        <v>323</v>
      </c>
      <c r="G11" s="35" t="s">
        <v>303</v>
      </c>
    </row>
    <row r="12" spans="1:7" ht="34" x14ac:dyDescent="0.2">
      <c r="A12" s="17"/>
      <c r="B12" s="24" t="s">
        <v>324</v>
      </c>
      <c r="C12" s="25" t="s">
        <v>325</v>
      </c>
      <c r="D12" s="26">
        <v>2021</v>
      </c>
      <c r="E12" s="27" t="s">
        <v>317</v>
      </c>
      <c r="F12" s="28" t="s">
        <v>326</v>
      </c>
      <c r="G12" s="29" t="s">
        <v>303</v>
      </c>
    </row>
    <row r="13" spans="1:7" ht="32" x14ac:dyDescent="0.2">
      <c r="A13" s="17"/>
      <c r="B13" s="30" t="s">
        <v>327</v>
      </c>
      <c r="C13" s="31" t="s">
        <v>328</v>
      </c>
      <c r="D13" s="32">
        <v>2021</v>
      </c>
      <c r="E13" s="33" t="s">
        <v>317</v>
      </c>
      <c r="F13" s="34" t="s">
        <v>329</v>
      </c>
      <c r="G13" s="35" t="s">
        <v>330</v>
      </c>
    </row>
    <row r="14" spans="1:7" ht="34" x14ac:dyDescent="0.2">
      <c r="A14" s="17"/>
      <c r="B14" s="24" t="s">
        <v>331</v>
      </c>
      <c r="C14" s="25" t="s">
        <v>332</v>
      </c>
      <c r="D14" s="26">
        <v>2021</v>
      </c>
      <c r="E14" s="27" t="s">
        <v>317</v>
      </c>
      <c r="F14" s="28" t="s">
        <v>333</v>
      </c>
      <c r="G14" s="29" t="s">
        <v>303</v>
      </c>
    </row>
    <row r="15" spans="1:7" ht="32" x14ac:dyDescent="0.2">
      <c r="A15" s="17"/>
      <c r="B15" s="36" t="s">
        <v>334</v>
      </c>
      <c r="C15" s="37" t="s">
        <v>298</v>
      </c>
      <c r="D15" s="38" t="s">
        <v>298</v>
      </c>
      <c r="E15" s="39" t="s">
        <v>298</v>
      </c>
      <c r="F15" s="40" t="s">
        <v>298</v>
      </c>
      <c r="G15" s="41" t="s">
        <v>298</v>
      </c>
    </row>
    <row r="16" spans="1:7" ht="34" x14ac:dyDescent="0.2">
      <c r="A16" s="17"/>
      <c r="B16" s="24" t="s">
        <v>335</v>
      </c>
      <c r="C16" s="25" t="s">
        <v>336</v>
      </c>
      <c r="D16" s="26">
        <v>2021</v>
      </c>
      <c r="E16" s="27" t="s">
        <v>317</v>
      </c>
      <c r="F16" s="28" t="s">
        <v>337</v>
      </c>
      <c r="G16" s="29" t="s">
        <v>303</v>
      </c>
    </row>
    <row r="17" spans="1:7" ht="46" x14ac:dyDescent="0.2">
      <c r="A17" s="17"/>
      <c r="B17" s="30" t="s">
        <v>338</v>
      </c>
      <c r="C17" s="31" t="s">
        <v>339</v>
      </c>
      <c r="D17" s="32">
        <v>2021</v>
      </c>
      <c r="E17" s="33" t="s">
        <v>317</v>
      </c>
      <c r="F17" s="34" t="s">
        <v>340</v>
      </c>
      <c r="G17" s="35" t="s">
        <v>303</v>
      </c>
    </row>
    <row r="18" spans="1:7" ht="34" x14ac:dyDescent="0.2">
      <c r="A18" s="17"/>
      <c r="B18" s="24" t="s">
        <v>9</v>
      </c>
      <c r="C18" s="25" t="s">
        <v>341</v>
      </c>
      <c r="D18" s="26">
        <v>2021</v>
      </c>
      <c r="E18" s="27" t="s">
        <v>317</v>
      </c>
      <c r="F18" s="28" t="s">
        <v>342</v>
      </c>
      <c r="G18" s="29" t="s">
        <v>303</v>
      </c>
    </row>
    <row r="19" spans="1:7" ht="68" x14ac:dyDescent="0.2">
      <c r="A19" s="17"/>
      <c r="B19" s="44" t="s">
        <v>10</v>
      </c>
      <c r="C19" s="45" t="s">
        <v>343</v>
      </c>
      <c r="D19" s="46">
        <v>2021</v>
      </c>
      <c r="E19" s="47" t="s">
        <v>317</v>
      </c>
      <c r="F19" s="48" t="s">
        <v>344</v>
      </c>
      <c r="G19" s="49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A15B-177A-4FF4-9381-1821F93CF2F4}">
  <dimension ref="A1:AQ279"/>
  <sheetViews>
    <sheetView workbookViewId="0">
      <selection activeCell="AM1" sqref="AM1"/>
    </sheetView>
  </sheetViews>
  <sheetFormatPr baseColWidth="10" defaultColWidth="8.83203125" defaultRowHeight="13" x14ac:dyDescent="0.15"/>
  <sheetData>
    <row r="1" spans="1:43" ht="16" x14ac:dyDescent="0.2">
      <c r="A1" s="17" t="s">
        <v>0</v>
      </c>
      <c r="B1" s="17" t="s">
        <v>1</v>
      </c>
      <c r="C1" s="17" t="s">
        <v>345</v>
      </c>
      <c r="D1" s="17" t="s">
        <v>346</v>
      </c>
      <c r="E1" s="17" t="s">
        <v>2</v>
      </c>
      <c r="F1" s="17" t="s">
        <v>347</v>
      </c>
      <c r="G1" s="17" t="s">
        <v>348</v>
      </c>
      <c r="H1" s="17" t="s">
        <v>3</v>
      </c>
      <c r="I1" s="17" t="s">
        <v>4</v>
      </c>
      <c r="J1" s="17" t="s">
        <v>349</v>
      </c>
      <c r="K1" s="17" t="s">
        <v>5</v>
      </c>
      <c r="L1" s="17" t="s">
        <v>350</v>
      </c>
      <c r="M1" s="17" t="s">
        <v>351</v>
      </c>
      <c r="N1" s="17" t="s">
        <v>352</v>
      </c>
      <c r="O1" s="17" t="s">
        <v>7</v>
      </c>
      <c r="P1" s="17" t="s">
        <v>353</v>
      </c>
      <c r="Q1" s="17" t="s">
        <v>354</v>
      </c>
      <c r="R1" s="17" t="s">
        <v>8</v>
      </c>
      <c r="S1" s="17" t="s">
        <v>355</v>
      </c>
      <c r="T1" s="17" t="s">
        <v>356</v>
      </c>
      <c r="U1" s="17" t="s">
        <v>6</v>
      </c>
      <c r="V1" s="17" t="s">
        <v>357</v>
      </c>
      <c r="W1" s="17" t="s">
        <v>358</v>
      </c>
      <c r="X1" s="17" t="s">
        <v>359</v>
      </c>
      <c r="Y1" s="17" t="s">
        <v>360</v>
      </c>
      <c r="Z1" s="17" t="s">
        <v>361</v>
      </c>
      <c r="AA1" s="17" t="s">
        <v>362</v>
      </c>
      <c r="AB1" s="17" t="s">
        <v>363</v>
      </c>
      <c r="AC1" s="17" t="s">
        <v>364</v>
      </c>
      <c r="AD1" s="17" t="s">
        <v>365</v>
      </c>
      <c r="AE1" s="17" t="s">
        <v>366</v>
      </c>
      <c r="AF1" s="17" t="s">
        <v>367</v>
      </c>
      <c r="AG1" s="17" t="s">
        <v>368</v>
      </c>
      <c r="AH1" s="17" t="s">
        <v>369</v>
      </c>
      <c r="AI1" s="17" t="s">
        <v>370</v>
      </c>
      <c r="AJ1" s="17" t="s">
        <v>371</v>
      </c>
      <c r="AK1" s="17" t="s">
        <v>13</v>
      </c>
      <c r="AL1" s="17" t="s">
        <v>10</v>
      </c>
      <c r="AM1" s="17" t="s">
        <v>372</v>
      </c>
      <c r="AN1" s="17" t="s">
        <v>373</v>
      </c>
      <c r="AO1" s="17" t="s">
        <v>374</v>
      </c>
      <c r="AP1" s="17" t="s">
        <v>375</v>
      </c>
      <c r="AQ1" s="17" t="s">
        <v>376</v>
      </c>
    </row>
    <row r="2" spans="1:43" ht="16" x14ac:dyDescent="0.2">
      <c r="A2" s="17">
        <v>1401</v>
      </c>
      <c r="B2" s="17" t="s">
        <v>14</v>
      </c>
      <c r="C2" s="17">
        <v>1.42</v>
      </c>
      <c r="D2" s="17">
        <v>0.25</v>
      </c>
      <c r="E2" s="17">
        <v>1.17</v>
      </c>
      <c r="F2" s="17">
        <v>24.9</v>
      </c>
      <c r="G2" s="17">
        <v>21.8</v>
      </c>
      <c r="H2" s="17">
        <v>3.1</v>
      </c>
      <c r="I2" s="17">
        <v>7.69</v>
      </c>
      <c r="J2" s="17">
        <v>88.58</v>
      </c>
      <c r="K2" s="17">
        <v>14.97</v>
      </c>
      <c r="L2" s="17">
        <v>321.39999999999998</v>
      </c>
      <c r="M2" s="17">
        <v>24.38</v>
      </c>
      <c r="N2" s="17">
        <v>2.4500000000000002</v>
      </c>
      <c r="O2" s="17">
        <v>21.93</v>
      </c>
      <c r="P2" s="17">
        <v>4.09</v>
      </c>
      <c r="Q2" s="17">
        <v>6.89</v>
      </c>
      <c r="R2" s="17">
        <v>-2.8</v>
      </c>
      <c r="S2" s="17">
        <v>67.400000000000006</v>
      </c>
      <c r="T2" s="17">
        <v>54.22</v>
      </c>
      <c r="U2" s="17">
        <v>13.18</v>
      </c>
      <c r="V2" s="17">
        <v>37.1</v>
      </c>
      <c r="W2" s="17">
        <v>37.6</v>
      </c>
      <c r="X2" s="17">
        <v>467.59</v>
      </c>
      <c r="Y2" s="17">
        <v>3229</v>
      </c>
      <c r="Z2" s="17">
        <v>32.44</v>
      </c>
      <c r="AA2" s="17">
        <v>458.33</v>
      </c>
      <c r="AB2" s="17">
        <v>3063</v>
      </c>
      <c r="AC2" s="17">
        <v>30.75</v>
      </c>
      <c r="AD2" s="17">
        <v>462.57</v>
      </c>
      <c r="AE2" s="17">
        <v>3084</v>
      </c>
      <c r="AF2" s="17">
        <v>31.93</v>
      </c>
      <c r="AG2" s="17">
        <v>1972</v>
      </c>
      <c r="AH2" s="17">
        <v>1308</v>
      </c>
      <c r="AI2" s="17">
        <v>54.500732390000003</v>
      </c>
      <c r="AJ2" s="17">
        <v>38.631933369999999</v>
      </c>
      <c r="AK2" s="17">
        <v>-15.868798999999999</v>
      </c>
      <c r="AL2" s="17">
        <v>88.48</v>
      </c>
      <c r="AM2" s="17">
        <v>36183</v>
      </c>
      <c r="AN2" s="17">
        <v>34931</v>
      </c>
      <c r="AO2" s="17">
        <v>34558</v>
      </c>
      <c r="AP2" s="17">
        <v>34172</v>
      </c>
      <c r="AQ2" s="17">
        <v>33858</v>
      </c>
    </row>
    <row r="3" spans="1:43" ht="16" x14ac:dyDescent="0.2">
      <c r="A3" s="17">
        <v>101</v>
      </c>
      <c r="B3" s="17" t="s">
        <v>15</v>
      </c>
      <c r="C3" s="17">
        <v>3.11</v>
      </c>
      <c r="D3" s="17">
        <v>0.56000000000000005</v>
      </c>
      <c r="E3" s="17">
        <v>2.5499999999999998</v>
      </c>
      <c r="F3" s="17">
        <v>29.8</v>
      </c>
      <c r="G3" s="17">
        <v>31</v>
      </c>
      <c r="H3" s="17">
        <v>-1.2</v>
      </c>
      <c r="I3" s="17">
        <v>4.57</v>
      </c>
      <c r="J3" s="17">
        <v>86.59</v>
      </c>
      <c r="K3" s="17">
        <v>15.42</v>
      </c>
      <c r="L3" s="17">
        <v>226.9</v>
      </c>
      <c r="M3" s="17">
        <v>19.36</v>
      </c>
      <c r="N3" s="17">
        <v>0.78</v>
      </c>
      <c r="O3" s="17">
        <v>18.579999999999998</v>
      </c>
      <c r="P3" s="17">
        <v>1.31</v>
      </c>
      <c r="Q3" s="17">
        <v>2.89</v>
      </c>
      <c r="R3" s="17">
        <v>-1.58</v>
      </c>
      <c r="S3" s="17">
        <v>65.09</v>
      </c>
      <c r="T3" s="17">
        <v>53.28</v>
      </c>
      <c r="U3" s="17">
        <v>11.81</v>
      </c>
      <c r="V3" s="17">
        <v>38.4</v>
      </c>
      <c r="W3" s="17">
        <v>37.9</v>
      </c>
      <c r="X3" s="17">
        <v>384.11</v>
      </c>
      <c r="Y3" s="17">
        <v>5939</v>
      </c>
      <c r="Z3" s="17">
        <v>16.23</v>
      </c>
      <c r="AA3" s="17">
        <v>380.02</v>
      </c>
      <c r="AB3" s="17">
        <v>5708</v>
      </c>
      <c r="AC3" s="17">
        <v>13.99</v>
      </c>
      <c r="AD3" s="17">
        <v>375.72</v>
      </c>
      <c r="AE3" s="17">
        <v>5555</v>
      </c>
      <c r="AF3" s="17">
        <v>15.58</v>
      </c>
      <c r="AG3" s="17">
        <v>1421</v>
      </c>
      <c r="AH3" s="17">
        <v>1086</v>
      </c>
      <c r="AI3" s="17">
        <v>30.748258100000001</v>
      </c>
      <c r="AJ3" s="17">
        <v>23.273257180000002</v>
      </c>
      <c r="AK3" s="17">
        <v>-7.4750009000000004</v>
      </c>
      <c r="AL3" s="17">
        <v>87.86</v>
      </c>
      <c r="AM3" s="17">
        <v>46214</v>
      </c>
      <c r="AN3" s="17">
        <v>46193</v>
      </c>
      <c r="AO3" s="17">
        <v>46341</v>
      </c>
      <c r="AP3" s="17">
        <v>46494</v>
      </c>
      <c r="AQ3" s="17">
        <v>46663</v>
      </c>
    </row>
    <row r="4" spans="1:43" ht="16" x14ac:dyDescent="0.2">
      <c r="A4" s="17">
        <v>901</v>
      </c>
      <c r="B4" s="17" t="s">
        <v>16</v>
      </c>
      <c r="C4" s="17">
        <v>0.36</v>
      </c>
      <c r="D4" s="17">
        <v>0.15</v>
      </c>
      <c r="E4" s="17">
        <v>0.21</v>
      </c>
      <c r="F4" s="17">
        <v>26.3</v>
      </c>
      <c r="G4" s="17">
        <v>18.600000000000001</v>
      </c>
      <c r="H4" s="17">
        <v>7.7</v>
      </c>
      <c r="I4" s="17">
        <v>6.22</v>
      </c>
      <c r="J4" s="17">
        <v>68.81</v>
      </c>
      <c r="K4" s="17">
        <v>8.7100000000000009</v>
      </c>
      <c r="L4" s="17">
        <v>456.6</v>
      </c>
      <c r="M4" s="17">
        <v>16.34</v>
      </c>
      <c r="N4" s="17">
        <v>1.1599999999999999</v>
      </c>
      <c r="O4" s="17">
        <v>15.18</v>
      </c>
      <c r="P4" s="17">
        <v>0.46</v>
      </c>
      <c r="Q4" s="17">
        <v>1.3</v>
      </c>
      <c r="R4" s="17">
        <v>-0.84</v>
      </c>
      <c r="S4" s="17">
        <v>57.13</v>
      </c>
      <c r="T4" s="17">
        <v>48.64</v>
      </c>
      <c r="U4" s="17">
        <v>8.49</v>
      </c>
      <c r="V4" s="17">
        <v>34.9</v>
      </c>
      <c r="W4" s="17">
        <v>36</v>
      </c>
      <c r="X4" s="17">
        <v>423.83</v>
      </c>
      <c r="Y4" s="17">
        <v>770</v>
      </c>
      <c r="Z4" s="17">
        <v>19.739999999999998</v>
      </c>
      <c r="AA4" s="17">
        <v>494.47</v>
      </c>
      <c r="AB4" s="17">
        <v>755</v>
      </c>
      <c r="AC4" s="17">
        <v>21.18</v>
      </c>
      <c r="AD4" s="17">
        <v>481.07</v>
      </c>
      <c r="AE4" s="17">
        <v>783</v>
      </c>
      <c r="AF4" s="17">
        <v>18.89</v>
      </c>
      <c r="AG4" s="17">
        <v>168</v>
      </c>
      <c r="AH4" s="17">
        <v>87</v>
      </c>
      <c r="AI4" s="17">
        <v>30.44029716</v>
      </c>
      <c r="AJ4" s="17">
        <v>16.46479939</v>
      </c>
      <c r="AK4" s="17">
        <v>-13.975498</v>
      </c>
      <c r="AL4" s="17">
        <v>70.540000000000006</v>
      </c>
      <c r="AM4" s="17">
        <v>5519</v>
      </c>
      <c r="AN4" s="17">
        <v>5372</v>
      </c>
      <c r="AO4" s="17">
        <v>5349</v>
      </c>
      <c r="AP4" s="17">
        <v>5314</v>
      </c>
      <c r="AQ4" s="17">
        <v>5284</v>
      </c>
    </row>
    <row r="5" spans="1:43" ht="16" x14ac:dyDescent="0.2">
      <c r="A5" s="17">
        <v>701</v>
      </c>
      <c r="B5" s="17" t="s">
        <v>17</v>
      </c>
      <c r="C5" s="17">
        <v>1.58</v>
      </c>
      <c r="D5" s="17">
        <v>0.18</v>
      </c>
      <c r="E5" s="17">
        <v>1.4</v>
      </c>
      <c r="F5" s="17">
        <v>18.3</v>
      </c>
      <c r="G5" s="17">
        <v>17.899999999999999</v>
      </c>
      <c r="H5" s="17">
        <v>0.4</v>
      </c>
      <c r="I5" s="17">
        <v>6.71</v>
      </c>
      <c r="J5" s="17">
        <v>66.8</v>
      </c>
      <c r="K5" s="17">
        <v>7.89</v>
      </c>
      <c r="L5" s="17">
        <v>322.89999999999998</v>
      </c>
      <c r="M5" s="17">
        <v>23.49</v>
      </c>
      <c r="N5" s="17">
        <v>1.28</v>
      </c>
      <c r="O5" s="17">
        <v>22.21</v>
      </c>
      <c r="P5" s="17">
        <v>12.36</v>
      </c>
      <c r="Q5" s="17">
        <v>20.86</v>
      </c>
      <c r="R5" s="17">
        <v>-8.5</v>
      </c>
      <c r="S5" s="17">
        <v>64.56</v>
      </c>
      <c r="T5" s="17">
        <v>54.12</v>
      </c>
      <c r="U5" s="17">
        <v>10.44</v>
      </c>
      <c r="V5" s="17">
        <v>32.9</v>
      </c>
      <c r="W5" s="17">
        <v>32.9</v>
      </c>
      <c r="X5" s="17">
        <v>518.75</v>
      </c>
      <c r="Y5" s="17">
        <v>676</v>
      </c>
      <c r="Z5" s="17">
        <v>12.86</v>
      </c>
      <c r="AA5" s="17">
        <v>545.08000000000004</v>
      </c>
      <c r="AB5" s="17">
        <v>659</v>
      </c>
      <c r="AC5" s="17">
        <v>9.7100000000000009</v>
      </c>
      <c r="AD5" s="17">
        <v>549.25</v>
      </c>
      <c r="AE5" s="17">
        <v>664</v>
      </c>
      <c r="AF5" s="17">
        <v>16.87</v>
      </c>
      <c r="AG5" s="17">
        <v>326</v>
      </c>
      <c r="AH5" s="17">
        <v>135</v>
      </c>
      <c r="AI5" s="17">
        <v>61.301241070000003</v>
      </c>
      <c r="AJ5" s="17">
        <v>26.951487319999998</v>
      </c>
      <c r="AK5" s="17">
        <v>-34.349753999999997</v>
      </c>
      <c r="AL5" s="17">
        <v>69.78</v>
      </c>
      <c r="AM5" s="17">
        <v>5318</v>
      </c>
      <c r="AN5" s="17">
        <v>5084</v>
      </c>
      <c r="AO5" s="17">
        <v>5036</v>
      </c>
      <c r="AP5" s="17">
        <v>5031</v>
      </c>
      <c r="AQ5" s="17">
        <v>5009</v>
      </c>
    </row>
    <row r="6" spans="1:43" ht="16" x14ac:dyDescent="0.2">
      <c r="A6" s="17">
        <v>102</v>
      </c>
      <c r="B6" s="17" t="s">
        <v>18</v>
      </c>
      <c r="C6" s="17">
        <v>1.65</v>
      </c>
      <c r="D6" s="17">
        <v>0.33</v>
      </c>
      <c r="E6" s="17">
        <v>1.32</v>
      </c>
      <c r="F6" s="17">
        <v>31.7</v>
      </c>
      <c r="G6" s="17">
        <v>32</v>
      </c>
      <c r="H6" s="17">
        <v>-0.3</v>
      </c>
      <c r="I6" s="17">
        <v>4.92</v>
      </c>
      <c r="J6" s="17">
        <v>86.53</v>
      </c>
      <c r="K6" s="17">
        <v>14.76</v>
      </c>
      <c r="L6" s="17">
        <v>192.7</v>
      </c>
      <c r="M6" s="17">
        <v>21.41</v>
      </c>
      <c r="N6" s="17">
        <v>0.9</v>
      </c>
      <c r="O6" s="17">
        <v>20.51</v>
      </c>
      <c r="P6" s="17">
        <v>1.02</v>
      </c>
      <c r="Q6" s="17">
        <v>2.52</v>
      </c>
      <c r="R6" s="17">
        <v>-1.5</v>
      </c>
      <c r="S6" s="17">
        <v>64.87</v>
      </c>
      <c r="T6" s="17">
        <v>53.66</v>
      </c>
      <c r="U6" s="17">
        <v>11.21</v>
      </c>
      <c r="V6" s="17">
        <v>36.200000000000003</v>
      </c>
      <c r="W6" s="17">
        <v>36.700000000000003</v>
      </c>
      <c r="X6" s="17">
        <v>326.49</v>
      </c>
      <c r="Y6" s="17">
        <v>2969</v>
      </c>
      <c r="Z6" s="17">
        <v>20.59</v>
      </c>
      <c r="AA6" s="17">
        <v>336.95</v>
      </c>
      <c r="AB6" s="17">
        <v>2875</v>
      </c>
      <c r="AC6" s="17">
        <v>20.25</v>
      </c>
      <c r="AD6" s="17">
        <v>332.48</v>
      </c>
      <c r="AE6" s="17">
        <v>2824</v>
      </c>
      <c r="AF6" s="17">
        <v>21.34</v>
      </c>
      <c r="AG6" s="17">
        <v>780</v>
      </c>
      <c r="AH6" s="17">
        <v>582</v>
      </c>
      <c r="AI6" s="17">
        <v>31.50242326</v>
      </c>
      <c r="AJ6" s="17">
        <v>22.98215132</v>
      </c>
      <c r="AK6" s="17">
        <v>-8.5202718999999991</v>
      </c>
      <c r="AL6" s="17">
        <v>85.42</v>
      </c>
      <c r="AM6" s="17">
        <v>24760</v>
      </c>
      <c r="AN6" s="17">
        <v>24845</v>
      </c>
      <c r="AO6" s="17">
        <v>24997</v>
      </c>
      <c r="AP6" s="17">
        <v>25201</v>
      </c>
      <c r="AQ6" s="17">
        <v>25324</v>
      </c>
    </row>
    <row r="7" spans="1:43" ht="16" x14ac:dyDescent="0.2">
      <c r="A7" s="17">
        <v>801</v>
      </c>
      <c r="B7" s="17" t="s">
        <v>19</v>
      </c>
      <c r="C7" s="17">
        <v>9.31</v>
      </c>
      <c r="D7" s="17">
        <v>6.64</v>
      </c>
      <c r="E7" s="17">
        <v>2.67</v>
      </c>
      <c r="F7" s="17">
        <v>78.2</v>
      </c>
      <c r="G7" s="17">
        <v>80</v>
      </c>
      <c r="H7" s="17">
        <v>-1.8</v>
      </c>
      <c r="I7" s="17">
        <v>19.649999999999999</v>
      </c>
      <c r="J7" s="17">
        <v>114.05</v>
      </c>
      <c r="K7" s="17">
        <v>16.68</v>
      </c>
      <c r="L7" s="17">
        <v>133.4</v>
      </c>
      <c r="M7" s="17">
        <v>32.61</v>
      </c>
      <c r="N7" s="17">
        <v>2.79</v>
      </c>
      <c r="O7" s="17">
        <v>29.82</v>
      </c>
      <c r="P7" s="17">
        <v>2.33</v>
      </c>
      <c r="Q7" s="17">
        <v>5.69</v>
      </c>
      <c r="R7" s="17">
        <v>-3.36</v>
      </c>
      <c r="S7" s="17">
        <v>57.71</v>
      </c>
      <c r="T7" s="17">
        <v>40.659999999999997</v>
      </c>
      <c r="U7" s="17">
        <v>17.05</v>
      </c>
      <c r="V7" s="17">
        <v>40.799999999999997</v>
      </c>
      <c r="W7" s="17">
        <v>40.9</v>
      </c>
      <c r="X7" s="17">
        <v>235.22</v>
      </c>
      <c r="Y7" s="17">
        <v>10398</v>
      </c>
      <c r="Z7" s="17">
        <v>36.270000000000003</v>
      </c>
      <c r="AA7" s="17">
        <v>251.56</v>
      </c>
      <c r="AB7" s="17">
        <v>8522</v>
      </c>
      <c r="AC7" s="17">
        <v>30.3</v>
      </c>
      <c r="AD7" s="17">
        <v>240.77</v>
      </c>
      <c r="AE7" s="17">
        <v>8759</v>
      </c>
      <c r="AF7" s="17">
        <v>14.07</v>
      </c>
      <c r="AG7" s="17">
        <v>5304</v>
      </c>
      <c r="AH7" s="17">
        <v>5541</v>
      </c>
      <c r="AI7" s="17">
        <v>124.717833</v>
      </c>
      <c r="AJ7" s="17">
        <v>119.1279857</v>
      </c>
      <c r="AK7" s="17">
        <v>-5.5898472000000003</v>
      </c>
      <c r="AL7" s="17">
        <v>107.03</v>
      </c>
      <c r="AM7" s="17">
        <v>42528</v>
      </c>
      <c r="AN7" s="17">
        <v>44464</v>
      </c>
      <c r="AO7" s="17">
        <v>44385</v>
      </c>
      <c r="AP7" s="17">
        <v>44707</v>
      </c>
      <c r="AQ7" s="17">
        <v>46513</v>
      </c>
    </row>
    <row r="8" spans="1:43" ht="16" x14ac:dyDescent="0.2">
      <c r="A8" s="17">
        <v>1501</v>
      </c>
      <c r="B8" s="17" t="s">
        <v>20</v>
      </c>
      <c r="C8" s="17">
        <v>1.98</v>
      </c>
      <c r="D8" s="17">
        <v>0.45</v>
      </c>
      <c r="E8" s="17">
        <v>1.53</v>
      </c>
      <c r="F8" s="17">
        <v>55.7</v>
      </c>
      <c r="G8" s="17">
        <v>39.700000000000003</v>
      </c>
      <c r="H8" s="17">
        <v>16</v>
      </c>
      <c r="I8" s="17">
        <v>5.19</v>
      </c>
      <c r="J8" s="17">
        <v>84.52</v>
      </c>
      <c r="K8" s="17">
        <v>10.72</v>
      </c>
      <c r="L8" s="17">
        <v>305.8</v>
      </c>
      <c r="M8" s="17">
        <v>16.36</v>
      </c>
      <c r="N8" s="17">
        <v>1.1299999999999999</v>
      </c>
      <c r="O8" s="17">
        <v>15.23</v>
      </c>
      <c r="P8" s="17">
        <v>16.809999999999999</v>
      </c>
      <c r="Q8" s="17">
        <v>25.17</v>
      </c>
      <c r="R8" s="17">
        <v>-8.36</v>
      </c>
      <c r="S8" s="17">
        <v>65.45</v>
      </c>
      <c r="T8" s="17">
        <v>52.29</v>
      </c>
      <c r="U8" s="17">
        <v>13.16</v>
      </c>
      <c r="V8" s="17">
        <v>36.200000000000003</v>
      </c>
      <c r="W8" s="17">
        <v>36.6</v>
      </c>
      <c r="X8" s="17">
        <v>487.21</v>
      </c>
      <c r="Y8" s="17">
        <v>1830</v>
      </c>
      <c r="Z8" s="17">
        <v>14.11</v>
      </c>
      <c r="AA8" s="17">
        <v>480.22</v>
      </c>
      <c r="AB8" s="17">
        <v>1782</v>
      </c>
      <c r="AC8" s="17">
        <v>13.56</v>
      </c>
      <c r="AD8" s="17">
        <v>483.88</v>
      </c>
      <c r="AE8" s="17">
        <v>1799</v>
      </c>
      <c r="AF8" s="17">
        <v>17.95</v>
      </c>
      <c r="AG8" s="17">
        <v>560</v>
      </c>
      <c r="AH8" s="17">
        <v>310</v>
      </c>
      <c r="AI8" s="17">
        <v>47.509968610000001</v>
      </c>
      <c r="AJ8" s="17">
        <v>28.039073810000001</v>
      </c>
      <c r="AK8" s="17">
        <v>-19.470894999999999</v>
      </c>
      <c r="AL8" s="17">
        <v>87.7</v>
      </c>
      <c r="AM8" s="17">
        <v>11787</v>
      </c>
      <c r="AN8" s="17">
        <v>11389</v>
      </c>
      <c r="AO8" s="17">
        <v>11246</v>
      </c>
      <c r="AP8" s="17">
        <v>11115</v>
      </c>
      <c r="AQ8" s="17">
        <v>11056</v>
      </c>
    </row>
    <row r="9" spans="1:43" ht="16" x14ac:dyDescent="0.2">
      <c r="A9" s="17">
        <v>1402</v>
      </c>
      <c r="B9" s="17" t="s">
        <v>21</v>
      </c>
      <c r="C9" s="17">
        <v>1.99</v>
      </c>
      <c r="D9" s="17">
        <v>0.45</v>
      </c>
      <c r="E9" s="17">
        <v>1.54</v>
      </c>
      <c r="F9" s="17">
        <v>27.8</v>
      </c>
      <c r="G9" s="17">
        <v>23.6</v>
      </c>
      <c r="H9" s="17">
        <v>4.2</v>
      </c>
      <c r="I9" s="17">
        <v>4.34</v>
      </c>
      <c r="J9" s="17">
        <v>85.07</v>
      </c>
      <c r="K9" s="17">
        <v>12.93</v>
      </c>
      <c r="L9" s="17">
        <v>253.2</v>
      </c>
      <c r="M9" s="17">
        <v>20.63</v>
      </c>
      <c r="N9" s="17">
        <v>0.75</v>
      </c>
      <c r="O9" s="17">
        <v>19.88</v>
      </c>
      <c r="P9" s="17">
        <v>4.42</v>
      </c>
      <c r="Q9" s="17">
        <v>7.96</v>
      </c>
      <c r="R9" s="17">
        <v>-3.54</v>
      </c>
      <c r="S9" s="17">
        <v>64.650000000000006</v>
      </c>
      <c r="T9" s="17">
        <v>53.54</v>
      </c>
      <c r="U9" s="17">
        <v>11.11</v>
      </c>
      <c r="V9" s="17">
        <v>34.9</v>
      </c>
      <c r="W9" s="17">
        <v>35.5</v>
      </c>
      <c r="X9" s="17">
        <v>454.41</v>
      </c>
      <c r="Y9" s="17">
        <v>1532</v>
      </c>
      <c r="Z9" s="17">
        <v>15.68</v>
      </c>
      <c r="AA9" s="17">
        <v>444.45</v>
      </c>
      <c r="AB9" s="17">
        <v>1526</v>
      </c>
      <c r="AC9" s="17">
        <v>8.67</v>
      </c>
      <c r="AD9" s="17">
        <v>443.62</v>
      </c>
      <c r="AE9" s="17">
        <v>1542</v>
      </c>
      <c r="AF9" s="17">
        <v>8.8000000000000007</v>
      </c>
      <c r="AG9" s="17">
        <v>492</v>
      </c>
      <c r="AH9" s="17">
        <v>346</v>
      </c>
      <c r="AI9" s="17">
        <v>38.095238100000003</v>
      </c>
      <c r="AJ9" s="17">
        <v>27.429839860000001</v>
      </c>
      <c r="AK9" s="17">
        <v>-10.665398</v>
      </c>
      <c r="AL9" s="17">
        <v>85.27</v>
      </c>
      <c r="AM9" s="17">
        <v>12915</v>
      </c>
      <c r="AN9" s="17">
        <v>12567</v>
      </c>
      <c r="AO9" s="17">
        <v>12571</v>
      </c>
      <c r="AP9" s="17">
        <v>12545</v>
      </c>
      <c r="AQ9" s="17">
        <v>12614</v>
      </c>
    </row>
    <row r="10" spans="1:43" ht="16" x14ac:dyDescent="0.2">
      <c r="A10" s="17">
        <v>1001</v>
      </c>
      <c r="B10" s="17" t="s">
        <v>22</v>
      </c>
      <c r="C10" s="17">
        <v>2.7</v>
      </c>
      <c r="D10" s="17">
        <v>0.76</v>
      </c>
      <c r="E10" s="17">
        <v>1.94</v>
      </c>
      <c r="F10" s="17">
        <v>24.2</v>
      </c>
      <c r="G10" s="17">
        <v>21.6</v>
      </c>
      <c r="H10" s="17">
        <v>2.6</v>
      </c>
      <c r="I10" s="17">
        <v>5.14</v>
      </c>
      <c r="J10" s="17">
        <v>87.37</v>
      </c>
      <c r="K10" s="17">
        <v>15.29</v>
      </c>
      <c r="L10" s="17">
        <v>226.9</v>
      </c>
      <c r="M10" s="17">
        <v>19.25</v>
      </c>
      <c r="N10" s="17">
        <v>1.57</v>
      </c>
      <c r="O10" s="17">
        <v>17.68</v>
      </c>
      <c r="P10" s="17">
        <v>2.04</v>
      </c>
      <c r="Q10" s="17">
        <v>3.88</v>
      </c>
      <c r="R10" s="17">
        <v>-1.84</v>
      </c>
      <c r="S10" s="17">
        <v>68.459999999999994</v>
      </c>
      <c r="T10" s="17">
        <v>56.34</v>
      </c>
      <c r="U10" s="17">
        <v>12.12</v>
      </c>
      <c r="V10" s="17">
        <v>36.9</v>
      </c>
      <c r="W10" s="17">
        <v>36.4</v>
      </c>
      <c r="X10" s="17">
        <v>390.02</v>
      </c>
      <c r="Y10" s="17">
        <v>7422</v>
      </c>
      <c r="Z10" s="17">
        <v>14.7</v>
      </c>
      <c r="AA10" s="17">
        <v>403.93</v>
      </c>
      <c r="AB10" s="17">
        <v>6987</v>
      </c>
      <c r="AC10" s="17">
        <v>13.66</v>
      </c>
      <c r="AD10" s="17">
        <v>400.66</v>
      </c>
      <c r="AE10" s="17">
        <v>6851</v>
      </c>
      <c r="AF10" s="17">
        <v>9.67</v>
      </c>
      <c r="AG10" s="17">
        <v>1983</v>
      </c>
      <c r="AH10" s="17">
        <v>1383</v>
      </c>
      <c r="AI10" s="17">
        <v>36.145237139999999</v>
      </c>
      <c r="AJ10" s="17">
        <v>24.54782655</v>
      </c>
      <c r="AK10" s="17">
        <v>-11.597410999999999</v>
      </c>
      <c r="AL10" s="17">
        <v>86.34</v>
      </c>
      <c r="AM10" s="17">
        <v>54862</v>
      </c>
      <c r="AN10" s="17">
        <v>54566</v>
      </c>
      <c r="AO10" s="17">
        <v>55287</v>
      </c>
      <c r="AP10" s="17">
        <v>55735</v>
      </c>
      <c r="AQ10" s="17">
        <v>56339</v>
      </c>
    </row>
    <row r="11" spans="1:43" ht="16" x14ac:dyDescent="0.2">
      <c r="A11" s="17">
        <v>1502</v>
      </c>
      <c r="B11" s="17" t="s">
        <v>23</v>
      </c>
      <c r="C11" s="17">
        <v>1.79</v>
      </c>
      <c r="D11" s="17">
        <v>0.85</v>
      </c>
      <c r="E11" s="17">
        <v>0.94</v>
      </c>
      <c r="F11" s="17">
        <v>29.6</v>
      </c>
      <c r="G11" s="17">
        <v>38.299999999999997</v>
      </c>
      <c r="H11" s="17">
        <v>-8.6999999999999993</v>
      </c>
      <c r="I11" s="17">
        <v>7.52</v>
      </c>
      <c r="J11" s="17">
        <v>119.79</v>
      </c>
      <c r="K11" s="17">
        <v>28.38</v>
      </c>
      <c r="L11" s="17">
        <v>124.5</v>
      </c>
      <c r="M11" s="17">
        <v>20.350000000000001</v>
      </c>
      <c r="N11" s="17">
        <v>2.14</v>
      </c>
      <c r="O11" s="17">
        <v>18.21</v>
      </c>
      <c r="P11" s="17">
        <v>5.94</v>
      </c>
      <c r="Q11" s="17">
        <v>13.53</v>
      </c>
      <c r="R11" s="17">
        <v>-7.59</v>
      </c>
      <c r="S11" s="17">
        <v>74.11</v>
      </c>
      <c r="T11" s="17">
        <v>59.8</v>
      </c>
      <c r="U11" s="17">
        <v>14.31</v>
      </c>
      <c r="V11" s="17">
        <v>44.5</v>
      </c>
      <c r="W11" s="17">
        <v>44.4</v>
      </c>
      <c r="X11" s="17">
        <v>261.42</v>
      </c>
      <c r="Y11" s="17">
        <v>2154</v>
      </c>
      <c r="Z11" s="17">
        <v>19.010000000000002</v>
      </c>
      <c r="AA11" s="17">
        <v>259.49</v>
      </c>
      <c r="AB11" s="17">
        <v>1983</v>
      </c>
      <c r="AC11" s="17">
        <v>18.61</v>
      </c>
      <c r="AD11" s="17">
        <v>260.82</v>
      </c>
      <c r="AE11" s="17">
        <v>1979</v>
      </c>
      <c r="AF11" s="17">
        <v>22.46</v>
      </c>
      <c r="AG11" s="17">
        <v>840</v>
      </c>
      <c r="AH11" s="17">
        <v>620</v>
      </c>
      <c r="AI11" s="17">
        <v>45.627376429999998</v>
      </c>
      <c r="AJ11" s="17">
        <v>31.27679968</v>
      </c>
      <c r="AK11" s="17">
        <v>-14.350576999999999</v>
      </c>
      <c r="AL11" s="17">
        <v>118.86</v>
      </c>
      <c r="AM11" s="17">
        <v>18410</v>
      </c>
      <c r="AN11" s="17">
        <v>18983</v>
      </c>
      <c r="AO11" s="17">
        <v>19282</v>
      </c>
      <c r="AP11" s="17">
        <v>19468</v>
      </c>
      <c r="AQ11" s="17">
        <v>19823</v>
      </c>
    </row>
    <row r="12" spans="1:43" ht="16" x14ac:dyDescent="0.2">
      <c r="A12" s="17">
        <v>802</v>
      </c>
      <c r="B12" s="17" t="s">
        <v>24</v>
      </c>
      <c r="C12" s="17">
        <v>2.14</v>
      </c>
      <c r="D12" s="17">
        <v>1.69</v>
      </c>
      <c r="E12" s="17">
        <v>0.45</v>
      </c>
      <c r="F12" s="17">
        <v>41.2</v>
      </c>
      <c r="G12" s="17">
        <v>44.5</v>
      </c>
      <c r="H12" s="17">
        <v>-3.3</v>
      </c>
      <c r="I12" s="17">
        <v>2.97</v>
      </c>
      <c r="J12" s="17">
        <v>71.040000000000006</v>
      </c>
      <c r="K12" s="17">
        <v>8.9</v>
      </c>
      <c r="L12" s="17">
        <v>714.9</v>
      </c>
      <c r="M12" s="17">
        <v>14.27</v>
      </c>
      <c r="N12" s="17">
        <v>0.97</v>
      </c>
      <c r="O12" s="17">
        <v>13.3</v>
      </c>
      <c r="P12" s="17">
        <v>3.78</v>
      </c>
      <c r="Q12" s="17">
        <v>5.35</v>
      </c>
      <c r="R12" s="17">
        <v>-1.57</v>
      </c>
      <c r="S12" s="17">
        <v>63.38</v>
      </c>
      <c r="T12" s="17">
        <v>56.25</v>
      </c>
      <c r="U12" s="17">
        <v>7.13</v>
      </c>
      <c r="V12" s="17">
        <v>31.6</v>
      </c>
      <c r="W12" s="17">
        <v>29.4</v>
      </c>
      <c r="X12" s="17">
        <v>542.67999999999995</v>
      </c>
      <c r="Y12" s="17">
        <v>365</v>
      </c>
      <c r="Z12" s="17">
        <v>7.74</v>
      </c>
      <c r="AA12" s="17">
        <v>669.79</v>
      </c>
      <c r="AB12" s="17">
        <v>365</v>
      </c>
      <c r="AC12" s="17">
        <v>13.26</v>
      </c>
      <c r="AD12" s="17">
        <v>678.98</v>
      </c>
      <c r="AE12" s="17">
        <v>346</v>
      </c>
      <c r="AF12" s="17">
        <v>15.64</v>
      </c>
      <c r="AG12" s="17">
        <v>71</v>
      </c>
      <c r="AH12" s="17">
        <v>37</v>
      </c>
      <c r="AI12" s="17">
        <v>26.482655730000001</v>
      </c>
      <c r="AJ12" s="17">
        <v>15.052888530000001</v>
      </c>
      <c r="AK12" s="17">
        <v>-11.429767</v>
      </c>
      <c r="AL12" s="17">
        <v>70.989999999999995</v>
      </c>
      <c r="AM12" s="17">
        <v>2681</v>
      </c>
      <c r="AN12" s="17">
        <v>2587</v>
      </c>
      <c r="AO12" s="17">
        <v>2544</v>
      </c>
      <c r="AP12" s="17">
        <v>2512</v>
      </c>
      <c r="AQ12" s="17">
        <v>2458</v>
      </c>
    </row>
    <row r="13" spans="1:43" ht="16" x14ac:dyDescent="0.2">
      <c r="A13" s="17">
        <v>1101</v>
      </c>
      <c r="B13" s="17" t="s">
        <v>25</v>
      </c>
      <c r="C13" s="17">
        <v>3.65</v>
      </c>
      <c r="D13" s="17">
        <v>1.38</v>
      </c>
      <c r="E13" s="17">
        <v>2.27</v>
      </c>
      <c r="F13" s="17">
        <v>26.6</v>
      </c>
      <c r="G13" s="17">
        <v>24.2</v>
      </c>
      <c r="H13" s="17">
        <v>2.4</v>
      </c>
      <c r="I13" s="17">
        <v>7.15</v>
      </c>
      <c r="J13" s="17">
        <v>88.95</v>
      </c>
      <c r="K13" s="17">
        <v>15.34</v>
      </c>
      <c r="L13" s="17">
        <v>139.9</v>
      </c>
      <c r="M13" s="17">
        <v>22.94</v>
      </c>
      <c r="N13" s="17">
        <v>1.77</v>
      </c>
      <c r="O13" s="17">
        <v>21.17</v>
      </c>
      <c r="P13" s="17">
        <v>5.48</v>
      </c>
      <c r="Q13" s="17">
        <v>10.14</v>
      </c>
      <c r="R13" s="17">
        <v>-4.66</v>
      </c>
      <c r="S13" s="17">
        <v>69.02</v>
      </c>
      <c r="T13" s="17">
        <v>55.47</v>
      </c>
      <c r="U13" s="17">
        <v>13.55</v>
      </c>
      <c r="V13" s="17">
        <v>37.799999999999997</v>
      </c>
      <c r="W13" s="17">
        <v>37.799999999999997</v>
      </c>
      <c r="X13" s="17">
        <v>303.95</v>
      </c>
      <c r="Y13" s="17">
        <v>4764</v>
      </c>
      <c r="Z13" s="17">
        <v>15.99</v>
      </c>
      <c r="AA13" s="17">
        <v>318.24</v>
      </c>
      <c r="AB13" s="17">
        <v>4471</v>
      </c>
      <c r="AC13" s="17">
        <v>15.94</v>
      </c>
      <c r="AD13" s="17">
        <v>328</v>
      </c>
      <c r="AE13" s="17">
        <v>4442</v>
      </c>
      <c r="AF13" s="17">
        <v>15.58</v>
      </c>
      <c r="AG13" s="17">
        <v>2015</v>
      </c>
      <c r="AH13" s="17">
        <v>1863</v>
      </c>
      <c r="AI13" s="17">
        <v>46.74848618</v>
      </c>
      <c r="AJ13" s="17">
        <v>39.70672862</v>
      </c>
      <c r="AK13" s="17">
        <v>-7.0417576000000004</v>
      </c>
      <c r="AL13" s="17">
        <v>88.75</v>
      </c>
      <c r="AM13" s="17">
        <v>43103</v>
      </c>
      <c r="AN13" s="17">
        <v>43739</v>
      </c>
      <c r="AO13" s="17">
        <v>44700</v>
      </c>
      <c r="AP13" s="17">
        <v>45896</v>
      </c>
      <c r="AQ13" s="17">
        <v>46919</v>
      </c>
    </row>
    <row r="14" spans="1:43" ht="16" x14ac:dyDescent="0.2">
      <c r="A14" s="17">
        <v>401</v>
      </c>
      <c r="B14" s="17" t="s">
        <v>26</v>
      </c>
      <c r="C14" s="17">
        <v>0.61</v>
      </c>
      <c r="D14" s="17">
        <v>0.47</v>
      </c>
      <c r="E14" s="17">
        <v>0.14000000000000001</v>
      </c>
      <c r="F14" s="17">
        <v>26.3</v>
      </c>
      <c r="G14" s="17">
        <v>29.8</v>
      </c>
      <c r="H14" s="17">
        <v>-3.5</v>
      </c>
      <c r="I14" s="17">
        <v>9.69</v>
      </c>
      <c r="J14" s="17">
        <v>69.47</v>
      </c>
      <c r="K14" s="17">
        <v>11.85</v>
      </c>
      <c r="L14" s="17">
        <v>468</v>
      </c>
      <c r="M14" s="17">
        <v>17.670000000000002</v>
      </c>
      <c r="N14" s="17">
        <v>0.76</v>
      </c>
      <c r="O14" s="17">
        <v>16.91</v>
      </c>
      <c r="P14" s="17">
        <v>1.06</v>
      </c>
      <c r="Q14" s="17">
        <v>1.42</v>
      </c>
      <c r="R14" s="17">
        <v>-0.36</v>
      </c>
      <c r="S14" s="17">
        <v>57.36</v>
      </c>
      <c r="T14" s="17">
        <v>53.85</v>
      </c>
      <c r="U14" s="17">
        <v>3.51</v>
      </c>
      <c r="V14" s="17">
        <v>38.200000000000003</v>
      </c>
      <c r="W14" s="17">
        <v>39.200000000000003</v>
      </c>
      <c r="X14" s="17">
        <v>463.29</v>
      </c>
      <c r="Y14" s="17">
        <v>1091</v>
      </c>
      <c r="Z14" s="17">
        <v>44.43</v>
      </c>
      <c r="AA14" s="17">
        <v>446.52</v>
      </c>
      <c r="AB14" s="17">
        <v>1121</v>
      </c>
      <c r="AC14" s="17">
        <v>32.369999999999997</v>
      </c>
      <c r="AD14" s="17">
        <v>438.42</v>
      </c>
      <c r="AE14" s="17">
        <v>1153</v>
      </c>
      <c r="AF14" s="17">
        <v>41.91</v>
      </c>
      <c r="AG14" s="17">
        <v>243</v>
      </c>
      <c r="AH14" s="17">
        <v>102</v>
      </c>
      <c r="AI14" s="17">
        <v>53.172866519999999</v>
      </c>
      <c r="AJ14" s="17">
        <v>24.02826855</v>
      </c>
      <c r="AK14" s="17">
        <v>-29.144597999999998</v>
      </c>
      <c r="AL14" s="17">
        <v>68.27</v>
      </c>
      <c r="AM14" s="17">
        <v>4570</v>
      </c>
      <c r="AN14" s="17">
        <v>4427</v>
      </c>
      <c r="AO14" s="17">
        <v>4346</v>
      </c>
      <c r="AP14" s="17">
        <v>4271</v>
      </c>
      <c r="AQ14" s="17">
        <v>4245</v>
      </c>
    </row>
    <row r="15" spans="1:43" ht="16" x14ac:dyDescent="0.2">
      <c r="A15" s="17">
        <v>1701</v>
      </c>
      <c r="B15" s="17" t="s">
        <v>27</v>
      </c>
      <c r="C15" s="17">
        <v>0.25</v>
      </c>
      <c r="D15" s="17">
        <v>0.1</v>
      </c>
      <c r="E15" s="17">
        <v>0.15</v>
      </c>
      <c r="F15" s="17">
        <v>22.2</v>
      </c>
      <c r="G15" s="17">
        <v>21.8</v>
      </c>
      <c r="H15" s="17">
        <v>0.4</v>
      </c>
      <c r="I15" s="17">
        <v>8.15</v>
      </c>
      <c r="J15" s="17">
        <v>64.53</v>
      </c>
      <c r="K15" s="17">
        <v>9.6300000000000008</v>
      </c>
      <c r="L15" s="17">
        <v>396.3</v>
      </c>
      <c r="M15" s="17">
        <v>17.7</v>
      </c>
      <c r="N15" s="17">
        <v>0.75</v>
      </c>
      <c r="O15" s="17">
        <v>16.95</v>
      </c>
      <c r="P15" s="17">
        <v>1.1000000000000001</v>
      </c>
      <c r="Q15" s="17">
        <v>2.46</v>
      </c>
      <c r="R15" s="17">
        <v>-1.36</v>
      </c>
      <c r="S15" s="17">
        <v>57.86</v>
      </c>
      <c r="T15" s="17">
        <v>46.39</v>
      </c>
      <c r="U15" s="17">
        <v>11.47</v>
      </c>
      <c r="V15" s="17">
        <v>37</v>
      </c>
      <c r="W15" s="17">
        <v>38.299999999999997</v>
      </c>
      <c r="X15" s="17">
        <v>439.1</v>
      </c>
      <c r="Y15" s="17">
        <v>2349</v>
      </c>
      <c r="Z15" s="17">
        <v>38.86</v>
      </c>
      <c r="AA15" s="17">
        <v>438.68</v>
      </c>
      <c r="AB15" s="17">
        <v>2275</v>
      </c>
      <c r="AC15" s="17">
        <v>38.119999999999997</v>
      </c>
      <c r="AD15" s="17">
        <v>435.15</v>
      </c>
      <c r="AE15" s="17">
        <v>2415</v>
      </c>
      <c r="AF15" s="17">
        <v>45.4</v>
      </c>
      <c r="AG15" s="17">
        <v>324</v>
      </c>
      <c r="AH15" s="17">
        <v>215</v>
      </c>
      <c r="AI15" s="17">
        <v>29.6431839</v>
      </c>
      <c r="AJ15" s="17">
        <v>20.74889018</v>
      </c>
      <c r="AK15" s="17">
        <v>-8.8942937000000004</v>
      </c>
      <c r="AL15" s="17">
        <v>65.27</v>
      </c>
      <c r="AM15" s="17">
        <v>10930</v>
      </c>
      <c r="AN15" s="17">
        <v>10589</v>
      </c>
      <c r="AO15" s="17">
        <v>10549</v>
      </c>
      <c r="AP15" s="17">
        <v>10441</v>
      </c>
      <c r="AQ15" s="17">
        <v>10362</v>
      </c>
    </row>
    <row r="16" spans="1:43" ht="16" x14ac:dyDescent="0.2">
      <c r="A16" s="17">
        <v>803</v>
      </c>
      <c r="B16" s="17" t="s">
        <v>28</v>
      </c>
      <c r="C16" s="17">
        <v>8.16</v>
      </c>
      <c r="D16" s="17">
        <v>5.72</v>
      </c>
      <c r="E16" s="17">
        <v>2.44</v>
      </c>
      <c r="F16" s="17">
        <v>54.5</v>
      </c>
      <c r="G16" s="17">
        <v>64.3</v>
      </c>
      <c r="H16" s="17">
        <v>-9.8000000000000007</v>
      </c>
      <c r="I16" s="17">
        <v>8.15</v>
      </c>
      <c r="J16" s="17">
        <v>67.13</v>
      </c>
      <c r="K16" s="17">
        <v>16.79</v>
      </c>
      <c r="L16" s="17">
        <v>193.4</v>
      </c>
      <c r="M16" s="17">
        <v>21.3</v>
      </c>
      <c r="N16" s="17">
        <v>2.34</v>
      </c>
      <c r="O16" s="17">
        <v>18.96</v>
      </c>
      <c r="P16" s="17">
        <v>5.15</v>
      </c>
      <c r="Q16" s="17">
        <v>9.44</v>
      </c>
      <c r="R16" s="17">
        <v>-4.29</v>
      </c>
      <c r="S16" s="17">
        <v>64.930000000000007</v>
      </c>
      <c r="T16" s="17">
        <v>51.47</v>
      </c>
      <c r="U16" s="17">
        <v>13.46</v>
      </c>
      <c r="V16" s="17">
        <v>42</v>
      </c>
      <c r="W16" s="17">
        <v>41.3</v>
      </c>
      <c r="X16" s="17">
        <v>291.77</v>
      </c>
      <c r="Y16" s="17">
        <v>1406</v>
      </c>
      <c r="Z16" s="17">
        <v>23.69</v>
      </c>
      <c r="AA16" s="17">
        <v>328.64</v>
      </c>
      <c r="AB16" s="17">
        <v>1223</v>
      </c>
      <c r="AC16" s="17">
        <v>15.74</v>
      </c>
      <c r="AD16" s="17">
        <v>337.63</v>
      </c>
      <c r="AE16" s="17">
        <v>1149</v>
      </c>
      <c r="AF16" s="17">
        <v>15.57</v>
      </c>
      <c r="AG16" s="17">
        <v>203</v>
      </c>
      <c r="AH16" s="17">
        <v>186</v>
      </c>
      <c r="AI16" s="17">
        <v>35.601543319999998</v>
      </c>
      <c r="AJ16" s="17">
        <v>29.721955900000001</v>
      </c>
      <c r="AK16" s="17">
        <v>-5.8795874000000001</v>
      </c>
      <c r="AL16" s="17">
        <v>71.569999999999993</v>
      </c>
      <c r="AM16" s="17">
        <v>5702</v>
      </c>
      <c r="AN16" s="17">
        <v>5909</v>
      </c>
      <c r="AO16" s="17">
        <v>6114</v>
      </c>
      <c r="AP16" s="17">
        <v>6161</v>
      </c>
      <c r="AQ16" s="17">
        <v>6258</v>
      </c>
    </row>
    <row r="17" spans="1:43" ht="16" x14ac:dyDescent="0.2">
      <c r="A17" s="17">
        <v>201</v>
      </c>
      <c r="B17" s="17" t="s">
        <v>29</v>
      </c>
      <c r="C17" s="17">
        <v>1.08</v>
      </c>
      <c r="D17" s="17">
        <v>0.14000000000000001</v>
      </c>
      <c r="E17" s="17">
        <v>0.94</v>
      </c>
      <c r="F17" s="17">
        <v>34.4</v>
      </c>
      <c r="G17" s="17">
        <v>22.6</v>
      </c>
      <c r="H17" s="17">
        <v>11.8</v>
      </c>
      <c r="I17" s="17">
        <v>6.44</v>
      </c>
      <c r="J17" s="17">
        <v>90.62</v>
      </c>
      <c r="K17" s="17">
        <v>12.03</v>
      </c>
      <c r="L17" s="17">
        <v>235.4</v>
      </c>
      <c r="M17" s="17">
        <v>20.99</v>
      </c>
      <c r="N17" s="17">
        <v>1.44</v>
      </c>
      <c r="O17" s="17">
        <v>19.55</v>
      </c>
      <c r="P17" s="17">
        <v>22.62</v>
      </c>
      <c r="Q17" s="17">
        <v>34.03</v>
      </c>
      <c r="R17" s="17">
        <v>-11.41</v>
      </c>
      <c r="S17" s="17">
        <v>67.040000000000006</v>
      </c>
      <c r="T17" s="17">
        <v>53.83</v>
      </c>
      <c r="U17" s="17">
        <v>13.21</v>
      </c>
      <c r="V17" s="17">
        <v>36.9</v>
      </c>
      <c r="W17" s="17">
        <v>37.799999999999997</v>
      </c>
      <c r="X17" s="17">
        <v>476.15</v>
      </c>
      <c r="Y17" s="17">
        <v>912</v>
      </c>
      <c r="Z17" s="17">
        <v>47.65</v>
      </c>
      <c r="AA17" s="17">
        <v>519.69000000000005</v>
      </c>
      <c r="AB17" s="17">
        <v>876</v>
      </c>
      <c r="AC17" s="17">
        <v>47.57</v>
      </c>
      <c r="AD17" s="17">
        <v>528.58000000000004</v>
      </c>
      <c r="AE17" s="17">
        <v>914</v>
      </c>
      <c r="AF17" s="17">
        <v>46.06</v>
      </c>
      <c r="AG17" s="17">
        <v>394</v>
      </c>
      <c r="AH17" s="17">
        <v>198</v>
      </c>
      <c r="AI17" s="17">
        <v>44.051878350000003</v>
      </c>
      <c r="AJ17" s="17">
        <v>22.229706969999999</v>
      </c>
      <c r="AK17" s="17">
        <v>-21.822171000000001</v>
      </c>
      <c r="AL17" s="17">
        <v>84.21</v>
      </c>
      <c r="AM17" s="17">
        <v>8944</v>
      </c>
      <c r="AN17" s="17">
        <v>8867</v>
      </c>
      <c r="AO17" s="17">
        <v>8909</v>
      </c>
      <c r="AP17" s="17">
        <v>8908</v>
      </c>
      <c r="AQ17" s="17">
        <v>8907</v>
      </c>
    </row>
    <row r="18" spans="1:43" ht="16" x14ac:dyDescent="0.2">
      <c r="A18" s="17">
        <v>1503</v>
      </c>
      <c r="B18" s="17" t="s">
        <v>30</v>
      </c>
      <c r="C18" s="17">
        <v>4.59</v>
      </c>
      <c r="D18" s="17">
        <v>1.82</v>
      </c>
      <c r="E18" s="17">
        <v>2.77</v>
      </c>
      <c r="F18" s="17">
        <v>40.5</v>
      </c>
      <c r="G18" s="17">
        <v>38.299999999999997</v>
      </c>
      <c r="H18" s="17">
        <v>2.2000000000000002</v>
      </c>
      <c r="I18" s="17">
        <v>10.06</v>
      </c>
      <c r="J18" s="17">
        <v>109.16</v>
      </c>
      <c r="K18" s="17">
        <v>26.09</v>
      </c>
      <c r="L18" s="17">
        <v>177.8</v>
      </c>
      <c r="M18" s="17">
        <v>16.84</v>
      </c>
      <c r="N18" s="17">
        <v>1.54</v>
      </c>
      <c r="O18" s="17">
        <v>15.3</v>
      </c>
      <c r="P18" s="17">
        <v>6.97</v>
      </c>
      <c r="Q18" s="17">
        <v>14.09</v>
      </c>
      <c r="R18" s="17">
        <v>-7.12</v>
      </c>
      <c r="S18" s="17">
        <v>66.98</v>
      </c>
      <c r="T18" s="17">
        <v>55.19</v>
      </c>
      <c r="U18" s="17">
        <v>11.79</v>
      </c>
      <c r="V18" s="17">
        <v>42.1</v>
      </c>
      <c r="W18" s="17">
        <v>41.9</v>
      </c>
      <c r="X18" s="17">
        <v>319.19</v>
      </c>
      <c r="Y18" s="17">
        <v>22621</v>
      </c>
      <c r="Z18" s="17">
        <v>42.38</v>
      </c>
      <c r="AA18" s="17">
        <v>341.87</v>
      </c>
      <c r="AB18" s="17">
        <v>20403</v>
      </c>
      <c r="AC18" s="17">
        <v>45.45</v>
      </c>
      <c r="AD18" s="17">
        <v>342.5</v>
      </c>
      <c r="AE18" s="17">
        <v>19787</v>
      </c>
      <c r="AF18" s="17">
        <v>43.86</v>
      </c>
      <c r="AG18" s="17">
        <v>7082</v>
      </c>
      <c r="AH18" s="17">
        <v>5635</v>
      </c>
      <c r="AI18" s="17">
        <v>40.371219119999999</v>
      </c>
      <c r="AJ18" s="17">
        <v>31.415334699999999</v>
      </c>
      <c r="AK18" s="17">
        <v>-8.9558844000000004</v>
      </c>
      <c r="AL18" s="17">
        <v>104.49</v>
      </c>
      <c r="AM18" s="17">
        <v>175422</v>
      </c>
      <c r="AN18" s="17">
        <v>177807</v>
      </c>
      <c r="AO18" s="17">
        <v>178115</v>
      </c>
      <c r="AP18" s="17">
        <v>177971</v>
      </c>
      <c r="AQ18" s="17">
        <v>179371</v>
      </c>
    </row>
    <row r="19" spans="1:43" ht="16" x14ac:dyDescent="0.2">
      <c r="A19" s="17">
        <v>902</v>
      </c>
      <c r="B19" s="17" t="s">
        <v>31</v>
      </c>
      <c r="C19" s="17">
        <v>1.18</v>
      </c>
      <c r="D19" s="17">
        <v>0.17</v>
      </c>
      <c r="E19" s="17">
        <v>1.01</v>
      </c>
      <c r="F19" s="17">
        <v>49.7</v>
      </c>
      <c r="G19" s="17">
        <v>36.1</v>
      </c>
      <c r="H19" s="17">
        <v>13.6</v>
      </c>
      <c r="I19" s="17">
        <v>6.58</v>
      </c>
      <c r="J19" s="17">
        <v>74.959999999999994</v>
      </c>
      <c r="K19" s="17">
        <v>10.93</v>
      </c>
      <c r="L19" s="17">
        <v>716.6</v>
      </c>
      <c r="M19" s="17">
        <v>19.059999999999999</v>
      </c>
      <c r="N19" s="17">
        <v>1.26</v>
      </c>
      <c r="O19" s="17">
        <v>17.8</v>
      </c>
      <c r="P19" s="17">
        <v>1.96</v>
      </c>
      <c r="Q19" s="17">
        <v>3.41</v>
      </c>
      <c r="R19" s="17">
        <v>-1.45</v>
      </c>
      <c r="S19" s="17">
        <v>55.16</v>
      </c>
      <c r="T19" s="17">
        <v>46.78</v>
      </c>
      <c r="U19" s="17">
        <v>8.3800000000000008</v>
      </c>
      <c r="V19" s="17">
        <v>35</v>
      </c>
      <c r="W19" s="17">
        <v>36.5</v>
      </c>
      <c r="X19" s="17">
        <v>448.41</v>
      </c>
      <c r="Y19" s="17">
        <v>713</v>
      </c>
      <c r="Z19" s="17">
        <v>23.83</v>
      </c>
      <c r="AA19" s="17">
        <v>441.57</v>
      </c>
      <c r="AB19" s="17">
        <v>686</v>
      </c>
      <c r="AC19" s="17">
        <v>26.34</v>
      </c>
      <c r="AD19" s="17">
        <v>446.91</v>
      </c>
      <c r="AE19" s="17">
        <v>684</v>
      </c>
      <c r="AF19" s="17">
        <v>22.23</v>
      </c>
      <c r="AG19" s="17">
        <v>155</v>
      </c>
      <c r="AH19" s="17">
        <v>95</v>
      </c>
      <c r="AI19" s="17">
        <v>24.045919949999998</v>
      </c>
      <c r="AJ19" s="17">
        <v>16.675443219999998</v>
      </c>
      <c r="AK19" s="17">
        <v>-7.3704767000000002</v>
      </c>
      <c r="AL19" s="17">
        <v>72.86</v>
      </c>
      <c r="AM19" s="17">
        <v>6446</v>
      </c>
      <c r="AN19" s="17">
        <v>5956</v>
      </c>
      <c r="AO19" s="17">
        <v>5879</v>
      </c>
      <c r="AP19" s="17">
        <v>5784</v>
      </c>
      <c r="AQ19" s="17">
        <v>5697</v>
      </c>
    </row>
    <row r="20" spans="1:43" ht="16" x14ac:dyDescent="0.2">
      <c r="A20" s="17">
        <v>1403</v>
      </c>
      <c r="B20" s="17" t="s">
        <v>32</v>
      </c>
      <c r="C20" s="17">
        <v>2.08</v>
      </c>
      <c r="D20" s="17">
        <v>0.65</v>
      </c>
      <c r="E20" s="17">
        <v>1.43</v>
      </c>
      <c r="F20" s="17">
        <v>38.799999999999997</v>
      </c>
      <c r="G20" s="17">
        <v>28.9</v>
      </c>
      <c r="H20" s="17">
        <v>9.9</v>
      </c>
      <c r="I20" s="17">
        <v>7.34</v>
      </c>
      <c r="J20" s="17">
        <v>86.27</v>
      </c>
      <c r="K20" s="17">
        <v>15.7</v>
      </c>
      <c r="L20" s="17">
        <v>198.6</v>
      </c>
      <c r="M20" s="17">
        <v>25.77</v>
      </c>
      <c r="N20" s="17">
        <v>2.85</v>
      </c>
      <c r="O20" s="17">
        <v>22.92</v>
      </c>
      <c r="P20" s="17">
        <v>4.3600000000000003</v>
      </c>
      <c r="Q20" s="17">
        <v>8.1300000000000008</v>
      </c>
      <c r="R20" s="17">
        <v>-3.77</v>
      </c>
      <c r="S20" s="17">
        <v>61.11</v>
      </c>
      <c r="T20" s="17">
        <v>48.38</v>
      </c>
      <c r="U20" s="17">
        <v>12.73</v>
      </c>
      <c r="V20" s="17">
        <v>38</v>
      </c>
      <c r="W20" s="17">
        <v>38.5</v>
      </c>
      <c r="X20" s="17">
        <v>401.7</v>
      </c>
      <c r="Y20" s="17">
        <v>2859</v>
      </c>
      <c r="Z20" s="17">
        <v>21.42</v>
      </c>
      <c r="AA20" s="17">
        <v>403.21</v>
      </c>
      <c r="AB20" s="17">
        <v>2783</v>
      </c>
      <c r="AC20" s="17">
        <v>19.54</v>
      </c>
      <c r="AD20" s="17">
        <v>404.3</v>
      </c>
      <c r="AE20" s="17">
        <v>2777</v>
      </c>
      <c r="AF20" s="17">
        <v>19.13</v>
      </c>
      <c r="AG20" s="17">
        <v>1420</v>
      </c>
      <c r="AH20" s="17">
        <v>932</v>
      </c>
      <c r="AI20" s="17">
        <v>63.246035990000003</v>
      </c>
      <c r="AJ20" s="17">
        <v>41.257193450000003</v>
      </c>
      <c r="AK20" s="17">
        <v>-21.988842999999999</v>
      </c>
      <c r="AL20" s="17">
        <v>88.28</v>
      </c>
      <c r="AM20" s="17">
        <v>22452</v>
      </c>
      <c r="AN20" s="17">
        <v>22078</v>
      </c>
      <c r="AO20" s="17">
        <v>22154</v>
      </c>
      <c r="AP20" s="17">
        <v>22326</v>
      </c>
      <c r="AQ20" s="17">
        <v>22590</v>
      </c>
    </row>
    <row r="21" spans="1:43" ht="16" x14ac:dyDescent="0.2">
      <c r="A21" s="17">
        <v>202</v>
      </c>
      <c r="B21" s="17" t="s">
        <v>33</v>
      </c>
      <c r="C21" s="17">
        <v>1.72</v>
      </c>
      <c r="D21" s="17">
        <v>0.62</v>
      </c>
      <c r="E21" s="17">
        <v>1.1000000000000001</v>
      </c>
      <c r="F21" s="17">
        <v>29.5</v>
      </c>
      <c r="G21" s="17">
        <v>27.2</v>
      </c>
      <c r="H21" s="17">
        <v>2.2999999999999998</v>
      </c>
      <c r="I21" s="17">
        <v>6.07</v>
      </c>
      <c r="J21" s="17">
        <v>81.25</v>
      </c>
      <c r="K21" s="17">
        <v>9.5299999999999994</v>
      </c>
      <c r="L21" s="17">
        <v>296.5</v>
      </c>
      <c r="M21" s="17">
        <v>22.97</v>
      </c>
      <c r="N21" s="17">
        <v>0.88</v>
      </c>
      <c r="O21" s="17">
        <v>22.09</v>
      </c>
      <c r="P21" s="17">
        <v>5.48</v>
      </c>
      <c r="Q21" s="17">
        <v>9.1199999999999992</v>
      </c>
      <c r="R21" s="17">
        <v>-3.64</v>
      </c>
      <c r="S21" s="17">
        <v>64.930000000000007</v>
      </c>
      <c r="T21" s="17">
        <v>52.55</v>
      </c>
      <c r="U21" s="17">
        <v>12.38</v>
      </c>
      <c r="V21" s="17">
        <v>39.5</v>
      </c>
      <c r="W21" s="17">
        <v>40.5</v>
      </c>
      <c r="X21" s="17">
        <v>453.7</v>
      </c>
      <c r="Y21" s="17">
        <v>869</v>
      </c>
      <c r="Z21" s="17">
        <v>19.43</v>
      </c>
      <c r="AA21" s="17">
        <v>457.77</v>
      </c>
      <c r="AB21" s="17">
        <v>874</v>
      </c>
      <c r="AC21" s="17">
        <v>16.899999999999999</v>
      </c>
      <c r="AD21" s="17">
        <v>456.64</v>
      </c>
      <c r="AE21" s="17">
        <v>857</v>
      </c>
      <c r="AF21" s="17">
        <v>22.02</v>
      </c>
      <c r="AG21" s="17">
        <v>319</v>
      </c>
      <c r="AH21" s="17">
        <v>190</v>
      </c>
      <c r="AI21" s="17">
        <v>45.892677310000003</v>
      </c>
      <c r="AJ21" s="17">
        <v>28.404843769999999</v>
      </c>
      <c r="AK21" s="17">
        <v>-17.487833999999999</v>
      </c>
      <c r="AL21" s="17">
        <v>80.38</v>
      </c>
      <c r="AM21" s="17">
        <v>6951</v>
      </c>
      <c r="AN21" s="17">
        <v>6763</v>
      </c>
      <c r="AO21" s="17">
        <v>6750</v>
      </c>
      <c r="AP21" s="17">
        <v>6766</v>
      </c>
      <c r="AQ21" s="17">
        <v>6689</v>
      </c>
    </row>
    <row r="22" spans="1:43" ht="16" x14ac:dyDescent="0.2">
      <c r="A22" s="17">
        <v>1404</v>
      </c>
      <c r="B22" s="17" t="s">
        <v>34</v>
      </c>
      <c r="C22" s="17">
        <v>0.98</v>
      </c>
      <c r="D22" s="17">
        <v>0.66</v>
      </c>
      <c r="E22" s="17">
        <v>0.32</v>
      </c>
      <c r="F22" s="17">
        <v>45.4</v>
      </c>
      <c r="G22" s="17">
        <v>30</v>
      </c>
      <c r="H22" s="17">
        <v>15.4</v>
      </c>
      <c r="I22" s="17">
        <v>8.2899999999999991</v>
      </c>
      <c r="J22" s="17">
        <v>78</v>
      </c>
      <c r="K22" s="17">
        <v>14.45</v>
      </c>
      <c r="L22" s="17">
        <v>226.6</v>
      </c>
      <c r="M22" s="17">
        <v>20.11</v>
      </c>
      <c r="N22" s="17">
        <v>1.29</v>
      </c>
      <c r="O22" s="17">
        <v>18.82</v>
      </c>
      <c r="P22" s="17">
        <v>16.68</v>
      </c>
      <c r="Q22" s="17">
        <v>26.12</v>
      </c>
      <c r="R22" s="17">
        <v>-9.44</v>
      </c>
      <c r="S22" s="17">
        <v>65.95</v>
      </c>
      <c r="T22" s="17">
        <v>57</v>
      </c>
      <c r="U22" s="17">
        <v>8.9499999999999993</v>
      </c>
      <c r="V22" s="17">
        <v>38.5</v>
      </c>
      <c r="W22" s="17">
        <v>37.4</v>
      </c>
      <c r="X22" s="17">
        <v>451.02</v>
      </c>
      <c r="Y22" s="17">
        <v>811</v>
      </c>
      <c r="Z22" s="17">
        <v>12.63</v>
      </c>
      <c r="AA22" s="17">
        <v>472.3</v>
      </c>
      <c r="AB22" s="17">
        <v>764</v>
      </c>
      <c r="AC22" s="17">
        <v>13.2</v>
      </c>
      <c r="AD22" s="17">
        <v>476.2</v>
      </c>
      <c r="AE22" s="17">
        <v>796</v>
      </c>
      <c r="AF22" s="17">
        <v>16.899999999999999</v>
      </c>
      <c r="AG22" s="17">
        <v>462</v>
      </c>
      <c r="AH22" s="17">
        <v>251</v>
      </c>
      <c r="AI22" s="17">
        <v>64.705882349999996</v>
      </c>
      <c r="AJ22" s="17">
        <v>34.79828088</v>
      </c>
      <c r="AK22" s="17">
        <v>-29.907601</v>
      </c>
      <c r="AL22" s="17">
        <v>81.27</v>
      </c>
      <c r="AM22" s="17">
        <v>7140</v>
      </c>
      <c r="AN22" s="17">
        <v>6901</v>
      </c>
      <c r="AO22" s="17">
        <v>6977</v>
      </c>
      <c r="AP22" s="17">
        <v>7092</v>
      </c>
      <c r="AQ22" s="17">
        <v>7213</v>
      </c>
    </row>
    <row r="23" spans="1:43" ht="16" x14ac:dyDescent="0.2">
      <c r="A23" s="17">
        <v>1201</v>
      </c>
      <c r="B23" s="17" t="s">
        <v>35</v>
      </c>
      <c r="C23" s="17">
        <v>1.1299999999999999</v>
      </c>
      <c r="D23" s="17">
        <v>0.16</v>
      </c>
      <c r="E23" s="17">
        <v>0.97</v>
      </c>
      <c r="F23" s="17">
        <v>34.799999999999997</v>
      </c>
      <c r="G23" s="17">
        <v>29</v>
      </c>
      <c r="H23" s="17">
        <v>5.8</v>
      </c>
      <c r="I23" s="17">
        <v>7.26</v>
      </c>
      <c r="J23" s="17">
        <v>73.47</v>
      </c>
      <c r="K23" s="17">
        <v>11.01</v>
      </c>
      <c r="L23" s="17">
        <v>267.39999999999998</v>
      </c>
      <c r="M23" s="17">
        <v>24.89</v>
      </c>
      <c r="N23" s="17">
        <v>2.2400000000000002</v>
      </c>
      <c r="O23" s="17">
        <v>22.65</v>
      </c>
      <c r="P23" s="17">
        <v>6.74</v>
      </c>
      <c r="Q23" s="17">
        <v>12.34</v>
      </c>
      <c r="R23" s="17">
        <v>-5.6</v>
      </c>
      <c r="S23" s="17">
        <v>67.47</v>
      </c>
      <c r="T23" s="17">
        <v>57.1</v>
      </c>
      <c r="U23" s="17">
        <v>10.37</v>
      </c>
      <c r="V23" s="17">
        <v>35</v>
      </c>
      <c r="W23" s="17">
        <v>35.4</v>
      </c>
      <c r="X23" s="17">
        <v>488.86</v>
      </c>
      <c r="Y23" s="17">
        <v>378</v>
      </c>
      <c r="Z23" s="17">
        <v>51.18</v>
      </c>
      <c r="AA23" s="17">
        <v>502.88</v>
      </c>
      <c r="AB23" s="17">
        <v>374</v>
      </c>
      <c r="AC23" s="17">
        <v>48.99</v>
      </c>
      <c r="AD23" s="17">
        <v>521.88</v>
      </c>
      <c r="AE23" s="17">
        <v>346</v>
      </c>
      <c r="AF23" s="17">
        <v>43.57</v>
      </c>
      <c r="AG23" s="17">
        <v>143</v>
      </c>
      <c r="AH23" s="17">
        <v>108</v>
      </c>
      <c r="AI23" s="17">
        <v>43.650793649999997</v>
      </c>
      <c r="AJ23" s="17">
        <v>34.134007590000003</v>
      </c>
      <c r="AK23" s="17">
        <v>-9.5167860999999991</v>
      </c>
      <c r="AL23" s="17">
        <v>73.569999999999993</v>
      </c>
      <c r="AM23" s="17">
        <v>3276</v>
      </c>
      <c r="AN23" s="17">
        <v>3103</v>
      </c>
      <c r="AO23" s="17">
        <v>3094</v>
      </c>
      <c r="AP23" s="17">
        <v>3131</v>
      </c>
      <c r="AQ23" s="17">
        <v>3164</v>
      </c>
    </row>
    <row r="24" spans="1:43" ht="16" x14ac:dyDescent="0.2">
      <c r="A24" s="17">
        <v>1002</v>
      </c>
      <c r="B24" s="17" t="s">
        <v>36</v>
      </c>
      <c r="C24" s="17">
        <v>1.72</v>
      </c>
      <c r="D24" s="17">
        <v>1.1399999999999999</v>
      </c>
      <c r="E24" s="17">
        <v>0.57999999999999996</v>
      </c>
      <c r="F24" s="17">
        <v>22.8</v>
      </c>
      <c r="G24" s="17">
        <v>23.9</v>
      </c>
      <c r="H24" s="17">
        <v>-1.1000000000000001</v>
      </c>
      <c r="I24" s="17">
        <v>5.31</v>
      </c>
      <c r="J24" s="17">
        <v>67.56</v>
      </c>
      <c r="K24" s="17">
        <v>10.38</v>
      </c>
      <c r="L24" s="17">
        <v>402.2</v>
      </c>
      <c r="M24" s="17">
        <v>20.85</v>
      </c>
      <c r="N24" s="17">
        <v>1.57</v>
      </c>
      <c r="O24" s="17">
        <v>19.28</v>
      </c>
      <c r="P24" s="17">
        <v>0.84</v>
      </c>
      <c r="Q24" s="17">
        <v>1.17</v>
      </c>
      <c r="R24" s="17">
        <v>-0.33</v>
      </c>
      <c r="S24" s="17">
        <v>64.260000000000005</v>
      </c>
      <c r="T24" s="17">
        <v>56.05</v>
      </c>
      <c r="U24" s="17">
        <v>8.2100000000000009</v>
      </c>
      <c r="V24" s="17">
        <v>34.799999999999997</v>
      </c>
      <c r="W24" s="17">
        <v>35.6</v>
      </c>
      <c r="X24" s="17">
        <v>495.28</v>
      </c>
      <c r="Y24" s="17">
        <v>888</v>
      </c>
      <c r="Z24" s="17">
        <v>19.920000000000002</v>
      </c>
      <c r="AA24" s="17">
        <v>487.83</v>
      </c>
      <c r="AB24" s="17">
        <v>811</v>
      </c>
      <c r="AC24" s="17">
        <v>23.18</v>
      </c>
      <c r="AD24" s="17">
        <v>506.59</v>
      </c>
      <c r="AE24" s="17">
        <v>824</v>
      </c>
      <c r="AF24" s="17">
        <v>23.34</v>
      </c>
      <c r="AG24" s="17">
        <v>158</v>
      </c>
      <c r="AH24" s="17">
        <v>76</v>
      </c>
      <c r="AI24" s="17">
        <v>24.159021410000001</v>
      </c>
      <c r="AJ24" s="17">
        <v>12.082670909999999</v>
      </c>
      <c r="AK24" s="17">
        <v>-12.076351000000001</v>
      </c>
      <c r="AL24" s="17">
        <v>72.72</v>
      </c>
      <c r="AM24" s="17">
        <v>6540</v>
      </c>
      <c r="AN24" s="17">
        <v>6280</v>
      </c>
      <c r="AO24" s="17">
        <v>6287</v>
      </c>
      <c r="AP24" s="17">
        <v>6310</v>
      </c>
      <c r="AQ24" s="17">
        <v>6290</v>
      </c>
    </row>
    <row r="25" spans="1:43" ht="16" x14ac:dyDescent="0.2">
      <c r="A25" s="17">
        <v>203</v>
      </c>
      <c r="B25" s="17" t="s">
        <v>37</v>
      </c>
      <c r="C25" s="17">
        <v>1.45</v>
      </c>
      <c r="D25" s="17">
        <v>0.35</v>
      </c>
      <c r="E25" s="17">
        <v>1.1000000000000001</v>
      </c>
      <c r="F25" s="17">
        <v>46.5</v>
      </c>
      <c r="G25" s="17">
        <v>44</v>
      </c>
      <c r="H25" s="17">
        <v>2.5</v>
      </c>
      <c r="I25" s="17">
        <v>7.23</v>
      </c>
      <c r="J25" s="17">
        <v>67.62</v>
      </c>
      <c r="K25" s="17">
        <v>12.33</v>
      </c>
      <c r="L25" s="17">
        <v>210</v>
      </c>
      <c r="M25" s="17">
        <v>24.82</v>
      </c>
      <c r="N25" s="17">
        <v>4.76</v>
      </c>
      <c r="O25" s="17">
        <v>20.059999999999999</v>
      </c>
      <c r="P25" s="17">
        <v>13.06</v>
      </c>
      <c r="Q25" s="17">
        <v>21.58</v>
      </c>
      <c r="R25" s="17">
        <v>-8.52</v>
      </c>
      <c r="S25" s="17">
        <v>66.650000000000006</v>
      </c>
      <c r="T25" s="17">
        <v>51.87</v>
      </c>
      <c r="U25" s="17">
        <v>14.78</v>
      </c>
      <c r="V25" s="17">
        <v>29.9</v>
      </c>
      <c r="W25" s="17">
        <v>30.1</v>
      </c>
      <c r="X25" s="17">
        <v>447.72</v>
      </c>
      <c r="Y25" s="17">
        <v>311</v>
      </c>
      <c r="Z25" s="17">
        <v>32.659999999999997</v>
      </c>
      <c r="AA25" s="17">
        <v>414.57</v>
      </c>
      <c r="AB25" s="17">
        <v>281</v>
      </c>
      <c r="AC25" s="17">
        <v>27.39</v>
      </c>
      <c r="AD25" s="17">
        <v>414.92</v>
      </c>
      <c r="AE25" s="17">
        <v>265</v>
      </c>
      <c r="AF25" s="17">
        <v>39.770000000000003</v>
      </c>
      <c r="AG25" s="17">
        <v>113</v>
      </c>
      <c r="AH25" s="17">
        <v>59</v>
      </c>
      <c r="AI25" s="17">
        <v>48.167092920000002</v>
      </c>
      <c r="AJ25" s="17">
        <v>26.07158639</v>
      </c>
      <c r="AK25" s="17">
        <v>-22.095507000000001</v>
      </c>
      <c r="AL25" s="17">
        <v>72.37</v>
      </c>
      <c r="AM25" s="17">
        <v>2346</v>
      </c>
      <c r="AN25" s="17">
        <v>2248</v>
      </c>
      <c r="AO25" s="17">
        <v>2284</v>
      </c>
      <c r="AP25" s="17">
        <v>2298</v>
      </c>
      <c r="AQ25" s="17">
        <v>2263</v>
      </c>
    </row>
    <row r="26" spans="1:43" ht="16" x14ac:dyDescent="0.2">
      <c r="A26" s="17">
        <v>1115</v>
      </c>
      <c r="B26" s="17" t="s">
        <v>38</v>
      </c>
      <c r="C26" s="17">
        <v>6.3</v>
      </c>
      <c r="D26" s="17">
        <v>2.1800000000000002</v>
      </c>
      <c r="E26" s="17">
        <v>4.12</v>
      </c>
      <c r="F26" s="17">
        <v>28.9</v>
      </c>
      <c r="G26" s="17">
        <v>33.4</v>
      </c>
      <c r="H26" s="17">
        <v>-4.5</v>
      </c>
      <c r="I26" s="17">
        <v>9.94</v>
      </c>
      <c r="J26" s="17">
        <v>100.07</v>
      </c>
      <c r="K26" s="17">
        <v>23.49</v>
      </c>
      <c r="L26" s="17">
        <v>153.6</v>
      </c>
      <c r="M26" s="17">
        <v>17.07</v>
      </c>
      <c r="N26" s="17">
        <v>2.2000000000000002</v>
      </c>
      <c r="O26" s="17">
        <v>14.87</v>
      </c>
      <c r="P26" s="17">
        <v>4.2699999999999996</v>
      </c>
      <c r="Q26" s="17">
        <v>8.93</v>
      </c>
      <c r="R26" s="17">
        <v>-4.66</v>
      </c>
      <c r="S26" s="17">
        <v>64.64</v>
      </c>
      <c r="T26" s="17">
        <v>54.99</v>
      </c>
      <c r="U26" s="17">
        <v>9.65</v>
      </c>
      <c r="V26" s="17">
        <v>41.1</v>
      </c>
      <c r="W26" s="17">
        <v>40.200000000000003</v>
      </c>
      <c r="X26" s="17">
        <v>318.72000000000003</v>
      </c>
      <c r="Y26" s="17">
        <v>20609</v>
      </c>
      <c r="Z26" s="17">
        <v>32.44</v>
      </c>
      <c r="AA26" s="17">
        <v>306.69</v>
      </c>
      <c r="AB26" s="17">
        <v>18466</v>
      </c>
      <c r="AC26" s="17">
        <v>33.15</v>
      </c>
      <c r="AD26" s="17">
        <v>310.67</v>
      </c>
      <c r="AE26" s="17">
        <v>18005</v>
      </c>
      <c r="AF26" s="17">
        <v>30.4</v>
      </c>
      <c r="AG26" s="17">
        <v>7237</v>
      </c>
      <c r="AH26" s="17">
        <v>5433</v>
      </c>
      <c r="AI26" s="17">
        <v>42.117944209999997</v>
      </c>
      <c r="AJ26" s="17">
        <v>31.02674365</v>
      </c>
      <c r="AK26" s="17">
        <v>-11.091201</v>
      </c>
      <c r="AL26" s="17">
        <v>102.25</v>
      </c>
      <c r="AM26" s="17">
        <v>171827</v>
      </c>
      <c r="AN26" s="17">
        <v>173414</v>
      </c>
      <c r="AO26" s="17">
        <v>172223</v>
      </c>
      <c r="AP26" s="17">
        <v>173156</v>
      </c>
      <c r="AQ26" s="17">
        <v>175107</v>
      </c>
    </row>
    <row r="27" spans="1:43" ht="16" x14ac:dyDescent="0.2">
      <c r="A27" s="17">
        <v>1301</v>
      </c>
      <c r="B27" s="17" t="s">
        <v>39</v>
      </c>
      <c r="C27" s="17">
        <v>0.71</v>
      </c>
      <c r="D27" s="17">
        <v>0.16</v>
      </c>
      <c r="E27" s="17">
        <v>0.55000000000000004</v>
      </c>
      <c r="F27" s="17">
        <v>19.8</v>
      </c>
      <c r="G27" s="17">
        <v>21.5</v>
      </c>
      <c r="H27" s="17">
        <v>-1.7</v>
      </c>
      <c r="I27" s="17">
        <v>9.42</v>
      </c>
      <c r="J27" s="17">
        <v>72.58</v>
      </c>
      <c r="K27" s="17">
        <v>14.09</v>
      </c>
      <c r="L27" s="17">
        <v>225.4</v>
      </c>
      <c r="M27" s="17">
        <v>13.4</v>
      </c>
      <c r="N27" s="17">
        <v>0.45</v>
      </c>
      <c r="O27" s="17">
        <v>12.95</v>
      </c>
      <c r="P27" s="17">
        <v>1.36</v>
      </c>
      <c r="Q27" s="17">
        <v>2.4500000000000002</v>
      </c>
      <c r="R27" s="17">
        <v>-1.0900000000000001</v>
      </c>
      <c r="S27" s="17">
        <v>64.87</v>
      </c>
      <c r="T27" s="17">
        <v>53.46</v>
      </c>
      <c r="U27" s="17">
        <v>11.41</v>
      </c>
      <c r="V27" s="17">
        <v>38.5</v>
      </c>
      <c r="W27" s="17">
        <v>40</v>
      </c>
      <c r="X27" s="17">
        <v>301.05</v>
      </c>
      <c r="Y27" s="17">
        <v>6075</v>
      </c>
      <c r="Z27" s="17">
        <v>36.81</v>
      </c>
      <c r="AA27" s="17">
        <v>293.67</v>
      </c>
      <c r="AB27" s="17">
        <v>5858</v>
      </c>
      <c r="AC27" s="17">
        <v>38.42</v>
      </c>
      <c r="AD27" s="17">
        <v>283.3</v>
      </c>
      <c r="AE27" s="17">
        <v>5620</v>
      </c>
      <c r="AF27" s="17">
        <v>40.409999999999997</v>
      </c>
      <c r="AG27" s="17">
        <v>2535</v>
      </c>
      <c r="AH27" s="17">
        <v>1643</v>
      </c>
      <c r="AI27" s="17">
        <v>47.598482859999997</v>
      </c>
      <c r="AJ27" s="17">
        <v>31.552465819999998</v>
      </c>
      <c r="AK27" s="17">
        <v>-16.046016999999999</v>
      </c>
      <c r="AL27" s="17">
        <v>75.34</v>
      </c>
      <c r="AM27" s="17">
        <v>53258</v>
      </c>
      <c r="AN27" s="17">
        <v>52319</v>
      </c>
      <c r="AO27" s="17">
        <v>52349</v>
      </c>
      <c r="AP27" s="17">
        <v>52061</v>
      </c>
      <c r="AQ27" s="17">
        <v>52072</v>
      </c>
    </row>
    <row r="28" spans="1:43" ht="16" x14ac:dyDescent="0.2">
      <c r="A28" s="17">
        <v>301</v>
      </c>
      <c r="B28" s="17" t="s">
        <v>40</v>
      </c>
      <c r="C28" s="17">
        <v>1.42</v>
      </c>
      <c r="D28" s="17">
        <v>0.42</v>
      </c>
      <c r="E28" s="17">
        <v>1</v>
      </c>
      <c r="F28" s="17">
        <v>17.899999999999999</v>
      </c>
      <c r="G28" s="17">
        <v>25.5</v>
      </c>
      <c r="H28" s="17">
        <v>-7.6</v>
      </c>
      <c r="I28" s="17">
        <v>6.72</v>
      </c>
      <c r="J28" s="17">
        <v>71.91</v>
      </c>
      <c r="K28" s="17">
        <v>14.43</v>
      </c>
      <c r="L28" s="17">
        <v>191.6</v>
      </c>
      <c r="M28" s="17">
        <v>21.39</v>
      </c>
      <c r="N28" s="17">
        <v>1.1299999999999999</v>
      </c>
      <c r="O28" s="17">
        <v>20.260000000000002</v>
      </c>
      <c r="P28" s="17">
        <v>1.1100000000000001</v>
      </c>
      <c r="Q28" s="17">
        <v>2.68</v>
      </c>
      <c r="R28" s="17">
        <v>-1.57</v>
      </c>
      <c r="S28" s="17">
        <v>69.94</v>
      </c>
      <c r="T28" s="17">
        <v>57.23</v>
      </c>
      <c r="U28" s="17">
        <v>12.71</v>
      </c>
      <c r="V28" s="17">
        <v>36.5</v>
      </c>
      <c r="W28" s="17">
        <v>37.1</v>
      </c>
      <c r="X28" s="17">
        <v>291.95999999999998</v>
      </c>
      <c r="Y28" s="17">
        <v>2205</v>
      </c>
      <c r="Z28" s="17">
        <v>12.96</v>
      </c>
      <c r="AA28" s="17">
        <v>305.05</v>
      </c>
      <c r="AB28" s="17">
        <v>2084</v>
      </c>
      <c r="AC28" s="17">
        <v>12.96</v>
      </c>
      <c r="AD28" s="17">
        <v>303.43</v>
      </c>
      <c r="AE28" s="17">
        <v>2022</v>
      </c>
      <c r="AF28" s="17">
        <v>12.56</v>
      </c>
      <c r="AG28" s="17">
        <v>745</v>
      </c>
      <c r="AH28" s="17">
        <v>476</v>
      </c>
      <c r="AI28" s="17">
        <v>40.577342049999999</v>
      </c>
      <c r="AJ28" s="17">
        <v>24.769735130000001</v>
      </c>
      <c r="AK28" s="17">
        <v>-15.807607000000001</v>
      </c>
      <c r="AL28" s="17">
        <v>74.010000000000005</v>
      </c>
      <c r="AM28" s="17">
        <v>18360</v>
      </c>
      <c r="AN28" s="17">
        <v>18473</v>
      </c>
      <c r="AO28" s="17">
        <v>18662</v>
      </c>
      <c r="AP28" s="17">
        <v>18865</v>
      </c>
      <c r="AQ28" s="17">
        <v>19217</v>
      </c>
    </row>
    <row r="29" spans="1:43" ht="16" x14ac:dyDescent="0.2">
      <c r="A29" s="17">
        <v>103</v>
      </c>
      <c r="B29" s="17" t="s">
        <v>41</v>
      </c>
      <c r="C29" s="17">
        <v>2.2400000000000002</v>
      </c>
      <c r="D29" s="17">
        <v>0.35</v>
      </c>
      <c r="E29" s="17">
        <v>1.89</v>
      </c>
      <c r="F29" s="17">
        <v>22.7</v>
      </c>
      <c r="G29" s="17">
        <v>32.799999999999997</v>
      </c>
      <c r="H29" s="17">
        <v>-10.1</v>
      </c>
      <c r="I29" s="17">
        <v>4.33</v>
      </c>
      <c r="J29" s="17">
        <v>80.349999999999994</v>
      </c>
      <c r="K29" s="17">
        <v>16.649999999999999</v>
      </c>
      <c r="L29" s="17">
        <v>279.60000000000002</v>
      </c>
      <c r="M29" s="17">
        <v>17.72</v>
      </c>
      <c r="N29" s="17">
        <v>1.05</v>
      </c>
      <c r="O29" s="17">
        <v>16.670000000000002</v>
      </c>
      <c r="P29" s="17">
        <v>1.28</v>
      </c>
      <c r="Q29" s="17">
        <v>2.4900000000000002</v>
      </c>
      <c r="R29" s="17">
        <v>-1.21</v>
      </c>
      <c r="S29" s="17">
        <v>63.01</v>
      </c>
      <c r="T29" s="17">
        <v>51.72</v>
      </c>
      <c r="U29" s="17">
        <v>11.29</v>
      </c>
      <c r="V29" s="17">
        <v>38.700000000000003</v>
      </c>
      <c r="W29" s="17">
        <v>39.4</v>
      </c>
      <c r="X29" s="17">
        <v>389.8</v>
      </c>
      <c r="Y29" s="17">
        <v>3987</v>
      </c>
      <c r="Z29" s="17">
        <v>10.63</v>
      </c>
      <c r="AA29" s="17">
        <v>394.86</v>
      </c>
      <c r="AB29" s="17">
        <v>3810</v>
      </c>
      <c r="AC29" s="17">
        <v>9.85</v>
      </c>
      <c r="AD29" s="17">
        <v>395.04</v>
      </c>
      <c r="AE29" s="17">
        <v>3836</v>
      </c>
      <c r="AF29" s="17">
        <v>10.24</v>
      </c>
      <c r="AG29" s="17">
        <v>930</v>
      </c>
      <c r="AH29" s="17">
        <v>653</v>
      </c>
      <c r="AI29" s="17">
        <v>33.366819749999998</v>
      </c>
      <c r="AJ29" s="17">
        <v>23.425168599999999</v>
      </c>
      <c r="AK29" s="17">
        <v>-9.9416510999999996</v>
      </c>
      <c r="AL29" s="17">
        <v>81.99</v>
      </c>
      <c r="AM29" s="17">
        <v>27872</v>
      </c>
      <c r="AN29" s="17">
        <v>27536</v>
      </c>
      <c r="AO29" s="17">
        <v>27691</v>
      </c>
      <c r="AP29" s="17">
        <v>27873</v>
      </c>
      <c r="AQ29" s="17">
        <v>27876</v>
      </c>
    </row>
    <row r="30" spans="1:43" ht="16" x14ac:dyDescent="0.2">
      <c r="A30" s="17">
        <v>1003</v>
      </c>
      <c r="B30" s="17" t="s">
        <v>42</v>
      </c>
      <c r="C30" s="17">
        <v>1.6</v>
      </c>
      <c r="D30" s="17">
        <v>0.48</v>
      </c>
      <c r="E30" s="17">
        <v>1.1200000000000001</v>
      </c>
      <c r="F30" s="17">
        <v>19.3</v>
      </c>
      <c r="G30" s="17">
        <v>14.8</v>
      </c>
      <c r="H30" s="17">
        <v>4.5</v>
      </c>
      <c r="I30" s="17">
        <v>5.4</v>
      </c>
      <c r="J30" s="17">
        <v>74.16</v>
      </c>
      <c r="K30" s="17">
        <v>12.82</v>
      </c>
      <c r="L30" s="17">
        <v>343.2</v>
      </c>
      <c r="M30" s="17">
        <v>17.670000000000002</v>
      </c>
      <c r="N30" s="17">
        <v>1.32</v>
      </c>
      <c r="O30" s="17">
        <v>16.350000000000001</v>
      </c>
      <c r="P30" s="17">
        <v>1.17</v>
      </c>
      <c r="Q30" s="17">
        <v>1.93</v>
      </c>
      <c r="R30" s="17">
        <v>-0.76</v>
      </c>
      <c r="S30" s="17">
        <v>66.3</v>
      </c>
      <c r="T30" s="17">
        <v>57.43</v>
      </c>
      <c r="U30" s="17">
        <v>8.8699999999999992</v>
      </c>
      <c r="V30" s="17">
        <v>35.799999999999997</v>
      </c>
      <c r="W30" s="17">
        <v>36.1</v>
      </c>
      <c r="X30" s="17">
        <v>439.76</v>
      </c>
      <c r="Y30" s="17">
        <v>1523</v>
      </c>
      <c r="Z30" s="17">
        <v>21.44</v>
      </c>
      <c r="AA30" s="17">
        <v>428.44</v>
      </c>
      <c r="AB30" s="17">
        <v>1462</v>
      </c>
      <c r="AC30" s="17">
        <v>21.11</v>
      </c>
      <c r="AD30" s="17">
        <v>434.47</v>
      </c>
      <c r="AE30" s="17">
        <v>1470</v>
      </c>
      <c r="AF30" s="17">
        <v>23.07</v>
      </c>
      <c r="AG30" s="17">
        <v>370</v>
      </c>
      <c r="AH30" s="17">
        <v>220</v>
      </c>
      <c r="AI30" s="17">
        <v>30.33284145</v>
      </c>
      <c r="AJ30" s="17">
        <v>18.79538659</v>
      </c>
      <c r="AK30" s="17">
        <v>-11.537455</v>
      </c>
      <c r="AL30" s="17">
        <v>76.150000000000006</v>
      </c>
      <c r="AM30" s="17">
        <v>12198</v>
      </c>
      <c r="AN30" s="17">
        <v>11721</v>
      </c>
      <c r="AO30" s="17">
        <v>11748</v>
      </c>
      <c r="AP30" s="17">
        <v>11711</v>
      </c>
      <c r="AQ30" s="17">
        <v>11705</v>
      </c>
    </row>
    <row r="31" spans="1:43" ht="16" x14ac:dyDescent="0.2">
      <c r="A31" s="17">
        <v>1601</v>
      </c>
      <c r="B31" s="17" t="s">
        <v>43</v>
      </c>
      <c r="C31" s="17">
        <v>0.9</v>
      </c>
      <c r="D31" s="17">
        <v>0.3</v>
      </c>
      <c r="E31" s="17">
        <v>0.6</v>
      </c>
      <c r="F31" s="17">
        <v>30.9</v>
      </c>
      <c r="G31" s="17">
        <v>26.6</v>
      </c>
      <c r="H31" s="17">
        <v>4.3</v>
      </c>
      <c r="I31" s="17">
        <v>6.17</v>
      </c>
      <c r="J31" s="17">
        <v>68.569999999999993</v>
      </c>
      <c r="K31" s="17">
        <v>10.78</v>
      </c>
      <c r="L31" s="17">
        <v>398.5</v>
      </c>
      <c r="M31" s="17">
        <v>15.04</v>
      </c>
      <c r="N31" s="17">
        <v>0.45</v>
      </c>
      <c r="O31" s="17">
        <v>14.59</v>
      </c>
      <c r="P31" s="17">
        <v>0.9</v>
      </c>
      <c r="Q31" s="17">
        <v>2.36</v>
      </c>
      <c r="R31" s="17">
        <v>-1.46</v>
      </c>
      <c r="S31" s="17">
        <v>52.26</v>
      </c>
      <c r="T31" s="17">
        <v>43.73</v>
      </c>
      <c r="U31" s="17">
        <v>8.5299999999999994</v>
      </c>
      <c r="V31" s="17">
        <v>38.5</v>
      </c>
      <c r="W31" s="17">
        <v>39</v>
      </c>
      <c r="X31" s="17">
        <v>402.09</v>
      </c>
      <c r="Y31" s="17">
        <v>2945</v>
      </c>
      <c r="Z31" s="17">
        <v>9.3699999999999992</v>
      </c>
      <c r="AA31" s="17">
        <v>403.42</v>
      </c>
      <c r="AB31" s="17">
        <v>2880</v>
      </c>
      <c r="AC31" s="17">
        <v>10.44</v>
      </c>
      <c r="AD31" s="17">
        <v>398.37</v>
      </c>
      <c r="AE31" s="17">
        <v>2814</v>
      </c>
      <c r="AF31" s="17">
        <v>11.73</v>
      </c>
      <c r="AG31" s="17">
        <v>443</v>
      </c>
      <c r="AH31" s="17">
        <v>376</v>
      </c>
      <c r="AI31" s="17">
        <v>20.945626480000001</v>
      </c>
      <c r="AJ31" s="17">
        <v>18.152850870000002</v>
      </c>
      <c r="AK31" s="17">
        <v>-2.7927756000000001</v>
      </c>
      <c r="AL31" s="17">
        <v>72.790000000000006</v>
      </c>
      <c r="AM31" s="17">
        <v>21150</v>
      </c>
      <c r="AN31" s="17">
        <v>20837</v>
      </c>
      <c r="AO31" s="17">
        <v>20814</v>
      </c>
      <c r="AP31" s="17">
        <v>20693</v>
      </c>
      <c r="AQ31" s="17">
        <v>20713</v>
      </c>
    </row>
    <row r="32" spans="1:43" ht="16" x14ac:dyDescent="0.2">
      <c r="A32" s="17">
        <v>601</v>
      </c>
      <c r="B32" s="17" t="s">
        <v>44</v>
      </c>
      <c r="C32" s="17">
        <v>2.2599999999999998</v>
      </c>
      <c r="D32" s="17">
        <v>1.1499999999999999</v>
      </c>
      <c r="E32" s="17">
        <v>1.1100000000000001</v>
      </c>
      <c r="F32" s="17">
        <v>21.3</v>
      </c>
      <c r="G32" s="17">
        <v>19</v>
      </c>
      <c r="H32" s="17">
        <v>2.2999999999999998</v>
      </c>
      <c r="I32" s="17">
        <v>5.22</v>
      </c>
      <c r="J32" s="17">
        <v>68.97</v>
      </c>
      <c r="K32" s="17">
        <v>10.19</v>
      </c>
      <c r="L32" s="17">
        <v>317.8</v>
      </c>
      <c r="M32" s="17">
        <v>14.94</v>
      </c>
      <c r="N32" s="17">
        <v>0.49</v>
      </c>
      <c r="O32" s="17">
        <v>14.45</v>
      </c>
      <c r="P32" s="17">
        <v>1.87</v>
      </c>
      <c r="Q32" s="17">
        <v>2.98</v>
      </c>
      <c r="R32" s="17">
        <v>-1.1100000000000001</v>
      </c>
      <c r="S32" s="17">
        <v>64.790000000000006</v>
      </c>
      <c r="T32" s="17">
        <v>56.37</v>
      </c>
      <c r="U32" s="17">
        <v>8.42</v>
      </c>
      <c r="V32" s="17">
        <v>35.1</v>
      </c>
      <c r="W32" s="17">
        <v>35.700000000000003</v>
      </c>
      <c r="X32" s="17">
        <v>457.62</v>
      </c>
      <c r="Y32" s="17">
        <v>1228</v>
      </c>
      <c r="Z32" s="17">
        <v>16.21</v>
      </c>
      <c r="AA32" s="17">
        <v>468.36</v>
      </c>
      <c r="AB32" s="17">
        <v>1163</v>
      </c>
      <c r="AC32" s="17">
        <v>15.56</v>
      </c>
      <c r="AD32" s="17">
        <v>474.31</v>
      </c>
      <c r="AE32" s="17">
        <v>1126</v>
      </c>
      <c r="AF32" s="17">
        <v>15.51</v>
      </c>
      <c r="AG32" s="17">
        <v>476</v>
      </c>
      <c r="AH32" s="17">
        <v>212</v>
      </c>
      <c r="AI32" s="17">
        <v>41.75438596</v>
      </c>
      <c r="AJ32" s="17">
        <v>19.02881249</v>
      </c>
      <c r="AK32" s="17">
        <v>-22.725573000000001</v>
      </c>
      <c r="AL32" s="17">
        <v>72.069999999999993</v>
      </c>
      <c r="AM32" s="17">
        <v>11400</v>
      </c>
      <c r="AN32" s="17">
        <v>11131</v>
      </c>
      <c r="AO32" s="17">
        <v>11180</v>
      </c>
      <c r="AP32" s="17">
        <v>11168</v>
      </c>
      <c r="AQ32" s="17">
        <v>11141</v>
      </c>
    </row>
    <row r="33" spans="1:43" ht="16" x14ac:dyDescent="0.2">
      <c r="A33" s="17">
        <v>1801</v>
      </c>
      <c r="B33" s="17" t="s">
        <v>45</v>
      </c>
      <c r="C33" s="17">
        <v>0.71</v>
      </c>
      <c r="D33" s="17">
        <v>0.1</v>
      </c>
      <c r="E33" s="17">
        <v>0.61</v>
      </c>
      <c r="F33" s="17">
        <v>20.8</v>
      </c>
      <c r="G33" s="17">
        <v>15.9</v>
      </c>
      <c r="H33" s="17">
        <v>4.9000000000000004</v>
      </c>
      <c r="I33" s="17">
        <v>9.08</v>
      </c>
      <c r="J33" s="17">
        <v>63.1</v>
      </c>
      <c r="K33" s="17">
        <v>10.050000000000001</v>
      </c>
      <c r="L33" s="17">
        <v>360.3</v>
      </c>
      <c r="M33" s="17">
        <v>21.25</v>
      </c>
      <c r="N33" s="17">
        <v>0.48</v>
      </c>
      <c r="O33" s="17">
        <v>20.77</v>
      </c>
      <c r="P33" s="17">
        <v>2.99</v>
      </c>
      <c r="Q33" s="17">
        <v>4.13</v>
      </c>
      <c r="R33" s="17">
        <v>-1.1399999999999999</v>
      </c>
      <c r="S33" s="17">
        <v>61.74</v>
      </c>
      <c r="T33" s="17">
        <v>48.86</v>
      </c>
      <c r="U33" s="17">
        <v>12.88</v>
      </c>
      <c r="V33" s="17">
        <v>38.299999999999997</v>
      </c>
      <c r="W33" s="17">
        <v>39.200000000000003</v>
      </c>
      <c r="X33" s="17">
        <v>411.98</v>
      </c>
      <c r="Y33" s="17">
        <v>1017</v>
      </c>
      <c r="Z33" s="17">
        <v>33.32</v>
      </c>
      <c r="AA33" s="17">
        <v>404.94</v>
      </c>
      <c r="AB33" s="17">
        <v>1026</v>
      </c>
      <c r="AC33" s="17">
        <v>32.65</v>
      </c>
      <c r="AD33" s="17">
        <v>401.86</v>
      </c>
      <c r="AE33" s="17">
        <v>1055</v>
      </c>
      <c r="AF33" s="17">
        <v>26.84</v>
      </c>
      <c r="AG33" s="17">
        <v>192</v>
      </c>
      <c r="AH33" s="17">
        <v>144</v>
      </c>
      <c r="AI33" s="17">
        <v>32.831737349999997</v>
      </c>
      <c r="AJ33" s="17">
        <v>25.294220970000001</v>
      </c>
      <c r="AK33" s="17">
        <v>-7.5375164000000003</v>
      </c>
      <c r="AL33" s="17">
        <v>71.17</v>
      </c>
      <c r="AM33" s="17">
        <v>5848</v>
      </c>
      <c r="AN33" s="17">
        <v>5727</v>
      </c>
      <c r="AO33" s="17">
        <v>5739</v>
      </c>
      <c r="AP33" s="17">
        <v>5727</v>
      </c>
      <c r="AQ33" s="17">
        <v>5693</v>
      </c>
    </row>
    <row r="34" spans="1:43" ht="16" x14ac:dyDescent="0.2">
      <c r="A34" s="17">
        <v>104</v>
      </c>
      <c r="B34" s="17" t="s">
        <v>46</v>
      </c>
      <c r="C34" s="17">
        <v>0.52</v>
      </c>
      <c r="D34" s="17">
        <v>0.16</v>
      </c>
      <c r="E34" s="17">
        <v>0.36</v>
      </c>
      <c r="F34" s="17">
        <v>14.6</v>
      </c>
      <c r="G34" s="17">
        <v>23.2</v>
      </c>
      <c r="H34" s="17">
        <v>-8.6</v>
      </c>
      <c r="I34" s="17">
        <v>4.83</v>
      </c>
      <c r="J34" s="17">
        <v>72.72</v>
      </c>
      <c r="K34" s="17">
        <v>12.26</v>
      </c>
      <c r="L34" s="17">
        <v>223.2</v>
      </c>
      <c r="M34" s="17">
        <v>16.38</v>
      </c>
      <c r="N34" s="17">
        <v>0.37</v>
      </c>
      <c r="O34" s="17">
        <v>16.010000000000002</v>
      </c>
      <c r="P34" s="17">
        <v>0.97</v>
      </c>
      <c r="Q34" s="17">
        <v>1.85</v>
      </c>
      <c r="R34" s="17">
        <v>-0.88</v>
      </c>
      <c r="S34" s="17">
        <v>68.260000000000005</v>
      </c>
      <c r="T34" s="17">
        <v>57.26</v>
      </c>
      <c r="U34" s="17">
        <v>11</v>
      </c>
      <c r="V34" s="17">
        <v>36</v>
      </c>
      <c r="W34" s="17">
        <v>36.4</v>
      </c>
      <c r="X34" s="17">
        <v>366.93</v>
      </c>
      <c r="Y34" s="17">
        <v>2671</v>
      </c>
      <c r="Z34" s="17">
        <v>13.03</v>
      </c>
      <c r="AA34" s="17">
        <v>368.42</v>
      </c>
      <c r="AB34" s="17">
        <v>2633</v>
      </c>
      <c r="AC34" s="17">
        <v>12.3</v>
      </c>
      <c r="AD34" s="17">
        <v>362.71</v>
      </c>
      <c r="AE34" s="17">
        <v>2623</v>
      </c>
      <c r="AF34" s="17">
        <v>14.74</v>
      </c>
      <c r="AG34" s="17">
        <v>589</v>
      </c>
      <c r="AH34" s="17">
        <v>467</v>
      </c>
      <c r="AI34" s="17">
        <v>27.321643940000001</v>
      </c>
      <c r="AJ34" s="17">
        <v>22.299684840000001</v>
      </c>
      <c r="AK34" s="17">
        <v>-5.0219591000000001</v>
      </c>
      <c r="AL34" s="17">
        <v>74.31</v>
      </c>
      <c r="AM34" s="17">
        <v>21558</v>
      </c>
      <c r="AN34" s="17">
        <v>21290</v>
      </c>
      <c r="AO34" s="17">
        <v>21241</v>
      </c>
      <c r="AP34" s="17">
        <v>21040</v>
      </c>
      <c r="AQ34" s="17">
        <v>20942</v>
      </c>
    </row>
    <row r="35" spans="1:43" ht="16" x14ac:dyDescent="0.2">
      <c r="A35" s="17">
        <v>702</v>
      </c>
      <c r="B35" s="17" t="s">
        <v>47</v>
      </c>
      <c r="C35" s="17">
        <v>0.46</v>
      </c>
      <c r="D35" s="17">
        <v>0.18</v>
      </c>
      <c r="E35" s="17">
        <v>0.28000000000000003</v>
      </c>
      <c r="F35" s="17">
        <v>23</v>
      </c>
      <c r="G35" s="17">
        <v>13.6</v>
      </c>
      <c r="H35" s="17">
        <v>9.4</v>
      </c>
      <c r="I35" s="17">
        <v>5.35</v>
      </c>
      <c r="J35" s="17">
        <v>73.8</v>
      </c>
      <c r="K35" s="17">
        <v>13.47</v>
      </c>
      <c r="L35" s="17">
        <v>228.7</v>
      </c>
      <c r="M35" s="17">
        <v>15.29</v>
      </c>
      <c r="N35" s="17">
        <v>1.29</v>
      </c>
      <c r="O35" s="17">
        <v>14</v>
      </c>
      <c r="P35" s="17">
        <v>19.87</v>
      </c>
      <c r="Q35" s="17">
        <v>31.79</v>
      </c>
      <c r="R35" s="17">
        <v>-11.92</v>
      </c>
      <c r="S35" s="17">
        <v>73.06</v>
      </c>
      <c r="T35" s="17">
        <v>61.5</v>
      </c>
      <c r="U35" s="17">
        <v>11.56</v>
      </c>
      <c r="V35" s="17">
        <v>34.1</v>
      </c>
      <c r="W35" s="17">
        <v>34</v>
      </c>
      <c r="X35" s="17">
        <v>441.25</v>
      </c>
      <c r="Y35" s="17">
        <v>882</v>
      </c>
      <c r="Z35" s="17">
        <v>6.9</v>
      </c>
      <c r="AA35" s="17">
        <v>432.32</v>
      </c>
      <c r="AB35" s="17">
        <v>842</v>
      </c>
      <c r="AC35" s="17">
        <v>8.11</v>
      </c>
      <c r="AD35" s="17">
        <v>439.74</v>
      </c>
      <c r="AE35" s="17">
        <v>851</v>
      </c>
      <c r="AF35" s="17">
        <v>12.62</v>
      </c>
      <c r="AG35" s="17">
        <v>315</v>
      </c>
      <c r="AH35" s="17">
        <v>155</v>
      </c>
      <c r="AI35" s="17">
        <v>46.337157990000001</v>
      </c>
      <c r="AJ35" s="17">
        <v>22.983392649999999</v>
      </c>
      <c r="AK35" s="17">
        <v>-23.353764999999999</v>
      </c>
      <c r="AL35" s="17">
        <v>77.099999999999994</v>
      </c>
      <c r="AM35" s="17">
        <v>6798</v>
      </c>
      <c r="AN35" s="17">
        <v>6634</v>
      </c>
      <c r="AO35" s="17">
        <v>6643</v>
      </c>
      <c r="AP35" s="17">
        <v>6716</v>
      </c>
      <c r="AQ35" s="17">
        <v>6744</v>
      </c>
    </row>
    <row r="36" spans="1:43" ht="16" x14ac:dyDescent="0.2">
      <c r="A36" s="17">
        <v>1202</v>
      </c>
      <c r="B36" s="17" t="s">
        <v>48</v>
      </c>
      <c r="C36" s="17">
        <v>0.4</v>
      </c>
      <c r="D36" s="17">
        <v>0.28000000000000003</v>
      </c>
      <c r="E36" s="17">
        <v>0.12</v>
      </c>
      <c r="F36" s="17">
        <v>23.5</v>
      </c>
      <c r="G36" s="17">
        <v>19.5</v>
      </c>
      <c r="H36" s="17">
        <v>4</v>
      </c>
      <c r="I36" s="17">
        <v>4.67</v>
      </c>
      <c r="J36" s="17">
        <v>73.36</v>
      </c>
      <c r="K36" s="17">
        <v>11.72</v>
      </c>
      <c r="L36" s="17">
        <v>257.8</v>
      </c>
      <c r="M36" s="17">
        <v>25.03</v>
      </c>
      <c r="N36" s="17">
        <v>2.5299999999999998</v>
      </c>
      <c r="O36" s="17">
        <v>22.5</v>
      </c>
      <c r="P36" s="17">
        <v>3.68</v>
      </c>
      <c r="Q36" s="17">
        <v>6.88</v>
      </c>
      <c r="R36" s="17">
        <v>-3.2</v>
      </c>
      <c r="S36" s="17">
        <v>65.569999999999993</v>
      </c>
      <c r="T36" s="17">
        <v>55.6</v>
      </c>
      <c r="U36" s="17">
        <v>9.9700000000000006</v>
      </c>
      <c r="V36" s="17">
        <v>35.1</v>
      </c>
      <c r="W36" s="17">
        <v>35.5</v>
      </c>
      <c r="X36" s="17">
        <v>457.76</v>
      </c>
      <c r="Y36" s="17">
        <v>367</v>
      </c>
      <c r="Z36" s="17">
        <v>11.74</v>
      </c>
      <c r="AA36" s="17">
        <v>466.9</v>
      </c>
      <c r="AB36" s="17">
        <v>354</v>
      </c>
      <c r="AC36" s="17">
        <v>11.38</v>
      </c>
      <c r="AD36" s="17">
        <v>480.76</v>
      </c>
      <c r="AE36" s="17">
        <v>342</v>
      </c>
      <c r="AF36" s="17">
        <v>17.72</v>
      </c>
      <c r="AG36" s="17">
        <v>87</v>
      </c>
      <c r="AH36" s="17">
        <v>52</v>
      </c>
      <c r="AI36" s="17">
        <v>28.961384819999999</v>
      </c>
      <c r="AJ36" s="17">
        <v>18.731988470000001</v>
      </c>
      <c r="AK36" s="17">
        <v>-10.229395999999999</v>
      </c>
      <c r="AL36" s="17">
        <v>75.87</v>
      </c>
      <c r="AM36" s="17">
        <v>3004</v>
      </c>
      <c r="AN36" s="17">
        <v>2866</v>
      </c>
      <c r="AO36" s="17">
        <v>2820</v>
      </c>
      <c r="AP36" s="17">
        <v>2787</v>
      </c>
      <c r="AQ36" s="17">
        <v>2776</v>
      </c>
    </row>
    <row r="37" spans="1:43" ht="16" x14ac:dyDescent="0.2">
      <c r="A37" s="17">
        <v>1102</v>
      </c>
      <c r="B37" s="17" t="s">
        <v>49</v>
      </c>
      <c r="C37" s="17">
        <v>1.93</v>
      </c>
      <c r="D37" s="17">
        <v>0.79</v>
      </c>
      <c r="E37" s="17">
        <v>1.1399999999999999</v>
      </c>
      <c r="F37" s="17">
        <v>25.5</v>
      </c>
      <c r="G37" s="17">
        <v>25.4</v>
      </c>
      <c r="H37" s="17">
        <v>0.1</v>
      </c>
      <c r="I37" s="17">
        <v>5.31</v>
      </c>
      <c r="J37" s="17">
        <v>93.73</v>
      </c>
      <c r="K37" s="17">
        <v>23.37</v>
      </c>
      <c r="L37" s="17">
        <v>125.6</v>
      </c>
      <c r="M37" s="17">
        <v>19.14</v>
      </c>
      <c r="N37" s="17">
        <v>1.69</v>
      </c>
      <c r="O37" s="17">
        <v>17.45</v>
      </c>
      <c r="P37" s="17">
        <v>3.28</v>
      </c>
      <c r="Q37" s="17">
        <v>7.07</v>
      </c>
      <c r="R37" s="17">
        <v>-3.79</v>
      </c>
      <c r="S37" s="17">
        <v>74.72</v>
      </c>
      <c r="T37" s="17">
        <v>61.48</v>
      </c>
      <c r="U37" s="17">
        <v>13.24</v>
      </c>
      <c r="V37" s="17">
        <v>41.4</v>
      </c>
      <c r="W37" s="17">
        <v>41.1</v>
      </c>
      <c r="X37" s="17">
        <v>288.63</v>
      </c>
      <c r="Y37" s="17">
        <v>1941</v>
      </c>
      <c r="Z37" s="17">
        <v>12.53</v>
      </c>
      <c r="AA37" s="17">
        <v>269.5</v>
      </c>
      <c r="AB37" s="17">
        <v>1831</v>
      </c>
      <c r="AC37" s="17">
        <v>10.39</v>
      </c>
      <c r="AD37" s="17">
        <v>273.01</v>
      </c>
      <c r="AE37" s="17">
        <v>1825</v>
      </c>
      <c r="AF37" s="17">
        <v>11.14</v>
      </c>
      <c r="AG37" s="17">
        <v>525</v>
      </c>
      <c r="AH37" s="17">
        <v>393</v>
      </c>
      <c r="AI37" s="17">
        <v>38.685432169999999</v>
      </c>
      <c r="AJ37" s="17">
        <v>26.358148889999999</v>
      </c>
      <c r="AK37" s="17">
        <v>-12.327283</v>
      </c>
      <c r="AL37" s="17">
        <v>103.15</v>
      </c>
      <c r="AM37" s="17">
        <v>13571</v>
      </c>
      <c r="AN37" s="17">
        <v>13800</v>
      </c>
      <c r="AO37" s="17">
        <v>14079</v>
      </c>
      <c r="AP37" s="17">
        <v>14431</v>
      </c>
      <c r="AQ37" s="17">
        <v>14910</v>
      </c>
    </row>
    <row r="38" spans="1:43" ht="16" x14ac:dyDescent="0.2">
      <c r="A38" s="17">
        <v>105</v>
      </c>
      <c r="B38" s="17" t="s">
        <v>50</v>
      </c>
      <c r="C38" s="17">
        <v>4.09</v>
      </c>
      <c r="D38" s="17">
        <v>1.67</v>
      </c>
      <c r="E38" s="17">
        <v>2.42</v>
      </c>
      <c r="F38" s="17">
        <v>31.6</v>
      </c>
      <c r="G38" s="17">
        <v>31.2</v>
      </c>
      <c r="H38" s="17">
        <v>0.4</v>
      </c>
      <c r="I38" s="17">
        <v>5.7</v>
      </c>
      <c r="J38" s="17">
        <v>121.75</v>
      </c>
      <c r="K38" s="17">
        <v>30.18</v>
      </c>
      <c r="L38" s="17">
        <v>175.2</v>
      </c>
      <c r="M38" s="17">
        <v>16.32</v>
      </c>
      <c r="N38" s="17">
        <v>1.1000000000000001</v>
      </c>
      <c r="O38" s="17">
        <v>15.22</v>
      </c>
      <c r="P38" s="17">
        <v>1.47</v>
      </c>
      <c r="Q38" s="17">
        <v>3.57</v>
      </c>
      <c r="R38" s="17">
        <v>-2.1</v>
      </c>
      <c r="S38" s="17">
        <v>67.27</v>
      </c>
      <c r="T38" s="17">
        <v>54.85</v>
      </c>
      <c r="U38" s="17">
        <v>12.42</v>
      </c>
      <c r="V38" s="17">
        <v>41.1</v>
      </c>
      <c r="W38" s="17">
        <v>41.5</v>
      </c>
      <c r="X38" s="17">
        <v>281.33</v>
      </c>
      <c r="Y38" s="17">
        <v>11484</v>
      </c>
      <c r="Z38" s="17">
        <v>20.87</v>
      </c>
      <c r="AA38" s="17">
        <v>296.04000000000002</v>
      </c>
      <c r="AB38" s="17">
        <v>10678</v>
      </c>
      <c r="AC38" s="17">
        <v>20.100000000000001</v>
      </c>
      <c r="AD38" s="17">
        <v>296.31</v>
      </c>
      <c r="AE38" s="17">
        <v>10228</v>
      </c>
      <c r="AF38" s="17">
        <v>20.97</v>
      </c>
      <c r="AG38" s="17">
        <v>3325</v>
      </c>
      <c r="AH38" s="17">
        <v>2532</v>
      </c>
      <c r="AI38" s="17">
        <v>41.817587279999998</v>
      </c>
      <c r="AJ38" s="17">
        <v>30.214436580000001</v>
      </c>
      <c r="AK38" s="17">
        <v>-11.603151</v>
      </c>
      <c r="AL38" s="17">
        <v>119.68</v>
      </c>
      <c r="AM38" s="17">
        <v>79512</v>
      </c>
      <c r="AN38" s="17">
        <v>81570</v>
      </c>
      <c r="AO38" s="17">
        <v>81321</v>
      </c>
      <c r="AP38" s="17">
        <v>82590</v>
      </c>
      <c r="AQ38" s="17">
        <v>83801</v>
      </c>
    </row>
    <row r="39" spans="1:43" ht="16" x14ac:dyDescent="0.2">
      <c r="A39" s="17">
        <v>1203</v>
      </c>
      <c r="B39" s="17" t="s">
        <v>51</v>
      </c>
      <c r="C39" s="17">
        <v>0.4</v>
      </c>
      <c r="D39" s="17">
        <v>0.16</v>
      </c>
      <c r="E39" s="17">
        <v>0.24</v>
      </c>
      <c r="F39" s="17">
        <v>74.5</v>
      </c>
      <c r="G39" s="17">
        <v>55.9</v>
      </c>
      <c r="H39" s="17">
        <v>18.600000000000001</v>
      </c>
      <c r="I39" s="17">
        <v>8.4499999999999993</v>
      </c>
      <c r="J39" s="17">
        <v>74.510000000000005</v>
      </c>
      <c r="K39" s="17">
        <v>10.36</v>
      </c>
      <c r="L39" s="17">
        <v>280.7</v>
      </c>
      <c r="M39" s="17">
        <v>16.89</v>
      </c>
      <c r="N39" s="17">
        <v>1.73</v>
      </c>
      <c r="O39" s="17">
        <v>15.16</v>
      </c>
      <c r="P39" s="17">
        <v>26.8</v>
      </c>
      <c r="Q39" s="17">
        <v>39.119999999999997</v>
      </c>
      <c r="R39" s="17">
        <v>-12.32</v>
      </c>
      <c r="S39" s="17">
        <v>70.52</v>
      </c>
      <c r="T39" s="17">
        <v>62.99</v>
      </c>
      <c r="U39" s="17">
        <v>7.53</v>
      </c>
      <c r="V39" s="17">
        <v>34.4</v>
      </c>
      <c r="W39" s="17">
        <v>35.299999999999997</v>
      </c>
      <c r="X39" s="17">
        <v>486.59</v>
      </c>
      <c r="Y39" s="17">
        <v>452</v>
      </c>
      <c r="Z39" s="17">
        <v>65.48</v>
      </c>
      <c r="AA39" s="17">
        <v>441.48</v>
      </c>
      <c r="AB39" s="17">
        <v>435</v>
      </c>
      <c r="AC39" s="17">
        <v>60.61</v>
      </c>
      <c r="AD39" s="17">
        <v>453.74</v>
      </c>
      <c r="AE39" s="17">
        <v>433</v>
      </c>
      <c r="AF39" s="17">
        <v>57.79</v>
      </c>
      <c r="AG39" s="17">
        <v>226</v>
      </c>
      <c r="AH39" s="17">
        <v>135</v>
      </c>
      <c r="AI39" s="17">
        <v>55.926750800000001</v>
      </c>
      <c r="AJ39" s="17">
        <v>35.676532770000001</v>
      </c>
      <c r="AK39" s="17">
        <v>-20.250218</v>
      </c>
      <c r="AL39" s="17">
        <v>78.56</v>
      </c>
      <c r="AM39" s="17">
        <v>4041</v>
      </c>
      <c r="AN39" s="17">
        <v>3831</v>
      </c>
      <c r="AO39" s="17">
        <v>3823</v>
      </c>
      <c r="AP39" s="17">
        <v>3826</v>
      </c>
      <c r="AQ39" s="17">
        <v>3784</v>
      </c>
    </row>
    <row r="40" spans="1:43" ht="16" x14ac:dyDescent="0.2">
      <c r="A40" s="17">
        <v>1103</v>
      </c>
      <c r="B40" s="17" t="s">
        <v>52</v>
      </c>
      <c r="C40" s="17">
        <v>2.68</v>
      </c>
      <c r="D40" s="17">
        <v>0.87</v>
      </c>
      <c r="E40" s="17">
        <v>1.81</v>
      </c>
      <c r="F40" s="17">
        <v>41.9</v>
      </c>
      <c r="G40" s="17">
        <v>44.3</v>
      </c>
      <c r="H40" s="17">
        <v>-2.4</v>
      </c>
      <c r="I40" s="17">
        <v>7.35</v>
      </c>
      <c r="J40" s="17">
        <v>98.86</v>
      </c>
      <c r="K40" s="17">
        <v>13.45</v>
      </c>
      <c r="L40" s="17">
        <v>180.4</v>
      </c>
      <c r="M40" s="17">
        <v>23.37</v>
      </c>
      <c r="N40" s="17">
        <v>2.48</v>
      </c>
      <c r="O40" s="17">
        <v>20.89</v>
      </c>
      <c r="P40" s="17">
        <v>5.69</v>
      </c>
      <c r="Q40" s="17">
        <v>11.25</v>
      </c>
      <c r="R40" s="17">
        <v>-5.56</v>
      </c>
      <c r="S40" s="17">
        <v>66.680000000000007</v>
      </c>
      <c r="T40" s="17">
        <v>54.37</v>
      </c>
      <c r="U40" s="17">
        <v>12.31</v>
      </c>
      <c r="V40" s="17">
        <v>36.4</v>
      </c>
      <c r="W40" s="17">
        <v>37.5</v>
      </c>
      <c r="X40" s="17">
        <v>333.52</v>
      </c>
      <c r="Y40" s="17">
        <v>2039</v>
      </c>
      <c r="Z40" s="17">
        <v>26.44</v>
      </c>
      <c r="AA40" s="17">
        <v>328.71</v>
      </c>
      <c r="AB40" s="17">
        <v>1883</v>
      </c>
      <c r="AC40" s="17">
        <v>23.37</v>
      </c>
      <c r="AD40" s="17">
        <v>329.05</v>
      </c>
      <c r="AE40" s="17">
        <v>1897</v>
      </c>
      <c r="AF40" s="17">
        <v>21.85</v>
      </c>
      <c r="AG40" s="17">
        <v>1019</v>
      </c>
      <c r="AH40" s="17">
        <v>818</v>
      </c>
      <c r="AI40" s="17">
        <v>47.932640290000002</v>
      </c>
      <c r="AJ40" s="17">
        <v>36.578276619999997</v>
      </c>
      <c r="AK40" s="17">
        <v>-11.354364</v>
      </c>
      <c r="AL40" s="17">
        <v>111.05</v>
      </c>
      <c r="AM40" s="17">
        <v>21259</v>
      </c>
      <c r="AN40" s="17">
        <v>21342</v>
      </c>
      <c r="AO40" s="17">
        <v>21535</v>
      </c>
      <c r="AP40" s="17">
        <v>21984</v>
      </c>
      <c r="AQ40" s="17">
        <v>22363</v>
      </c>
    </row>
    <row r="41" spans="1:43" ht="16" x14ac:dyDescent="0.2">
      <c r="A41" s="17">
        <v>1302</v>
      </c>
      <c r="B41" s="17" t="s">
        <v>53</v>
      </c>
      <c r="C41" s="17">
        <v>0.41</v>
      </c>
      <c r="D41" s="17">
        <v>0.08</v>
      </c>
      <c r="E41" s="17">
        <v>0.33</v>
      </c>
      <c r="F41" s="17">
        <v>24.6</v>
      </c>
      <c r="G41" s="17">
        <v>16.600000000000001</v>
      </c>
      <c r="H41" s="17">
        <v>8</v>
      </c>
      <c r="I41" s="17">
        <v>9.2799999999999994</v>
      </c>
      <c r="J41" s="17">
        <v>59.48</v>
      </c>
      <c r="K41" s="17">
        <v>8</v>
      </c>
      <c r="L41" s="17">
        <v>251.6</v>
      </c>
      <c r="M41" s="17">
        <v>15.93</v>
      </c>
      <c r="N41" s="17">
        <v>0.63</v>
      </c>
      <c r="O41" s="17">
        <v>15.3</v>
      </c>
      <c r="P41" s="17">
        <v>0.98</v>
      </c>
      <c r="Q41" s="17">
        <v>1.68</v>
      </c>
      <c r="R41" s="17">
        <v>-0.7</v>
      </c>
      <c r="S41" s="17">
        <v>60.64</v>
      </c>
      <c r="T41" s="17">
        <v>46.94</v>
      </c>
      <c r="U41" s="17">
        <v>13.7</v>
      </c>
      <c r="V41" s="17">
        <v>35.1</v>
      </c>
      <c r="W41" s="17">
        <v>35.5</v>
      </c>
      <c r="X41" s="17">
        <v>366.09</v>
      </c>
      <c r="Y41" s="17">
        <v>1659</v>
      </c>
      <c r="Z41" s="17">
        <v>45.99</v>
      </c>
      <c r="AA41" s="17">
        <v>344.88</v>
      </c>
      <c r="AB41" s="17">
        <v>1620</v>
      </c>
      <c r="AC41" s="17">
        <v>46.53</v>
      </c>
      <c r="AD41" s="17">
        <v>341.52</v>
      </c>
      <c r="AE41" s="17">
        <v>1634</v>
      </c>
      <c r="AF41" s="17">
        <v>56.43</v>
      </c>
      <c r="AG41" s="17">
        <v>899</v>
      </c>
      <c r="AH41" s="17">
        <v>433</v>
      </c>
      <c r="AI41" s="17">
        <v>48.549981099999997</v>
      </c>
      <c r="AJ41" s="17">
        <v>25.06077092</v>
      </c>
      <c r="AK41" s="17">
        <v>-23.48921</v>
      </c>
      <c r="AL41" s="17">
        <v>62.73</v>
      </c>
      <c r="AM41" s="17">
        <v>18517</v>
      </c>
      <c r="AN41" s="17">
        <v>17820</v>
      </c>
      <c r="AO41" s="17">
        <v>17670</v>
      </c>
      <c r="AP41" s="17">
        <v>17436</v>
      </c>
      <c r="AQ41" s="17">
        <v>17278</v>
      </c>
    </row>
    <row r="42" spans="1:43" ht="16" x14ac:dyDescent="0.2">
      <c r="A42" s="17">
        <v>302</v>
      </c>
      <c r="B42" s="17" t="s">
        <v>54</v>
      </c>
      <c r="C42" s="17">
        <v>1.35</v>
      </c>
      <c r="D42" s="17">
        <v>0.28999999999999998</v>
      </c>
      <c r="E42" s="17">
        <v>1.06</v>
      </c>
      <c r="F42" s="17">
        <v>16.3</v>
      </c>
      <c r="G42" s="17">
        <v>17.2</v>
      </c>
      <c r="H42" s="17">
        <v>-0.9</v>
      </c>
      <c r="I42" s="17">
        <v>5.31</v>
      </c>
      <c r="J42" s="17">
        <v>80.12</v>
      </c>
      <c r="K42" s="17">
        <v>14.01</v>
      </c>
      <c r="L42" s="17">
        <v>186.3</v>
      </c>
      <c r="M42" s="17">
        <v>18.600000000000001</v>
      </c>
      <c r="N42" s="17">
        <v>0.67</v>
      </c>
      <c r="O42" s="17">
        <v>17.93</v>
      </c>
      <c r="P42" s="17">
        <v>1.21</v>
      </c>
      <c r="Q42" s="17">
        <v>2.4</v>
      </c>
      <c r="R42" s="17">
        <v>-1.19</v>
      </c>
      <c r="S42" s="17">
        <v>74.12</v>
      </c>
      <c r="T42" s="17">
        <v>63.14</v>
      </c>
      <c r="U42" s="17">
        <v>10.98</v>
      </c>
      <c r="V42" s="17">
        <v>36</v>
      </c>
      <c r="W42" s="17">
        <v>36.4</v>
      </c>
      <c r="X42" s="17">
        <v>323.58999999999997</v>
      </c>
      <c r="Y42" s="17">
        <v>14843</v>
      </c>
      <c r="Z42" s="17">
        <v>5.53</v>
      </c>
      <c r="AA42" s="17">
        <v>322.14999999999998</v>
      </c>
      <c r="AB42" s="17">
        <v>14295</v>
      </c>
      <c r="AC42" s="17">
        <v>4.7300000000000004</v>
      </c>
      <c r="AD42" s="17">
        <v>309.89999999999998</v>
      </c>
      <c r="AE42" s="17">
        <v>13930</v>
      </c>
      <c r="AF42" s="17">
        <v>4.6900000000000004</v>
      </c>
      <c r="AG42" s="17">
        <v>3712</v>
      </c>
      <c r="AH42" s="17">
        <v>2726</v>
      </c>
      <c r="AI42" s="17">
        <v>31.737617459999999</v>
      </c>
      <c r="AJ42" s="17">
        <v>23.362243320000001</v>
      </c>
      <c r="AK42" s="17">
        <v>-8.3753741000000002</v>
      </c>
      <c r="AL42" s="17">
        <v>81.63</v>
      </c>
      <c r="AM42" s="17">
        <v>116959</v>
      </c>
      <c r="AN42" s="17">
        <v>116932</v>
      </c>
      <c r="AO42" s="17">
        <v>117250</v>
      </c>
      <c r="AP42" s="17">
        <v>116643</v>
      </c>
      <c r="AQ42" s="17">
        <v>116684</v>
      </c>
    </row>
    <row r="43" spans="1:43" ht="16" x14ac:dyDescent="0.2">
      <c r="A43" s="17">
        <v>204</v>
      </c>
      <c r="B43" s="17" t="s">
        <v>55</v>
      </c>
      <c r="C43" s="17">
        <v>0.42</v>
      </c>
      <c r="D43" s="17">
        <v>0</v>
      </c>
      <c r="E43" s="17">
        <v>0.42</v>
      </c>
      <c r="F43" s="17">
        <v>50.2</v>
      </c>
      <c r="G43" s="17">
        <v>18.8</v>
      </c>
      <c r="H43" s="17">
        <v>31.4</v>
      </c>
      <c r="I43" s="17">
        <v>9.32</v>
      </c>
      <c r="J43" s="17">
        <v>65.14</v>
      </c>
      <c r="K43" s="17">
        <v>8.7100000000000009</v>
      </c>
      <c r="L43" s="17">
        <v>185.6</v>
      </c>
      <c r="M43" s="17">
        <v>22.77</v>
      </c>
      <c r="N43" s="17">
        <v>2.2599999999999998</v>
      </c>
      <c r="O43" s="17">
        <v>20.51</v>
      </c>
      <c r="P43" s="17">
        <v>18.5</v>
      </c>
      <c r="Q43" s="17">
        <v>23.53</v>
      </c>
      <c r="R43" s="17">
        <v>-5.03</v>
      </c>
      <c r="S43" s="17">
        <v>61.25</v>
      </c>
      <c r="T43" s="17">
        <v>49.85</v>
      </c>
      <c r="U43" s="17">
        <v>11.4</v>
      </c>
      <c r="V43" s="17">
        <v>29.9</v>
      </c>
      <c r="W43" s="17">
        <v>30.1</v>
      </c>
      <c r="X43" s="17">
        <v>379.91</v>
      </c>
      <c r="Y43" s="17">
        <v>263</v>
      </c>
      <c r="Z43" s="17">
        <v>52.61</v>
      </c>
      <c r="AA43" s="17">
        <v>351.41</v>
      </c>
      <c r="AB43" s="17">
        <v>259</v>
      </c>
      <c r="AC43" s="17">
        <v>47.27</v>
      </c>
      <c r="AD43" s="17">
        <v>363.96</v>
      </c>
      <c r="AE43" s="17">
        <v>275</v>
      </c>
      <c r="AF43" s="17">
        <v>56.36</v>
      </c>
      <c r="AG43" s="17">
        <v>138</v>
      </c>
      <c r="AH43" s="17">
        <v>67</v>
      </c>
      <c r="AI43" s="17">
        <v>84.09506399</v>
      </c>
      <c r="AJ43" s="17">
        <v>45.98490048</v>
      </c>
      <c r="AK43" s="17">
        <v>-38.110163999999997</v>
      </c>
      <c r="AL43" s="17">
        <v>67.19</v>
      </c>
      <c r="AM43" s="17">
        <v>1641</v>
      </c>
      <c r="AN43" s="17">
        <v>1546</v>
      </c>
      <c r="AO43" s="17">
        <v>1536</v>
      </c>
      <c r="AP43" s="17">
        <v>1498</v>
      </c>
      <c r="AQ43" s="17">
        <v>1457</v>
      </c>
    </row>
    <row r="44" spans="1:43" ht="16" x14ac:dyDescent="0.2">
      <c r="A44" s="17">
        <v>1504</v>
      </c>
      <c r="B44" s="17" t="s">
        <v>56</v>
      </c>
      <c r="C44" s="17">
        <v>4.07</v>
      </c>
      <c r="D44" s="17">
        <v>1.26</v>
      </c>
      <c r="E44" s="17">
        <v>2.81</v>
      </c>
      <c r="F44" s="17">
        <v>40.5</v>
      </c>
      <c r="G44" s="17">
        <v>43.5</v>
      </c>
      <c r="H44" s="17">
        <v>-3</v>
      </c>
      <c r="I44" s="17">
        <v>10.29</v>
      </c>
      <c r="J44" s="17">
        <v>100.29</v>
      </c>
      <c r="K44" s="17">
        <v>20.37</v>
      </c>
      <c r="L44" s="17">
        <v>190.2</v>
      </c>
      <c r="M44" s="17">
        <v>17.25</v>
      </c>
      <c r="N44" s="17">
        <v>1.69</v>
      </c>
      <c r="O44" s="17">
        <v>15.56</v>
      </c>
      <c r="P44" s="17">
        <v>10.9</v>
      </c>
      <c r="Q44" s="17">
        <v>20.86</v>
      </c>
      <c r="R44" s="17">
        <v>-9.9600000000000009</v>
      </c>
      <c r="S44" s="17">
        <v>67.7</v>
      </c>
      <c r="T44" s="17">
        <v>57.09</v>
      </c>
      <c r="U44" s="17">
        <v>10.61</v>
      </c>
      <c r="V44" s="17">
        <v>38.5</v>
      </c>
      <c r="W44" s="17">
        <v>38.1</v>
      </c>
      <c r="X44" s="17">
        <v>370.82</v>
      </c>
      <c r="Y44" s="17">
        <v>7545</v>
      </c>
      <c r="Z44" s="17">
        <v>43.69</v>
      </c>
      <c r="AA44" s="17">
        <v>397.6</v>
      </c>
      <c r="AB44" s="17">
        <v>6830</v>
      </c>
      <c r="AC44" s="17">
        <v>47.21</v>
      </c>
      <c r="AD44" s="17">
        <v>396.82</v>
      </c>
      <c r="AE44" s="17">
        <v>6618</v>
      </c>
      <c r="AF44" s="17">
        <v>45.78</v>
      </c>
      <c r="AG44" s="17">
        <v>3728</v>
      </c>
      <c r="AH44" s="17">
        <v>2966</v>
      </c>
      <c r="AI44" s="17">
        <v>47.848240990000001</v>
      </c>
      <c r="AJ44" s="17">
        <v>37.541452550000002</v>
      </c>
      <c r="AK44" s="17">
        <v>-10.306787999999999</v>
      </c>
      <c r="AL44" s="17">
        <v>96.5</v>
      </c>
      <c r="AM44" s="17">
        <v>77913</v>
      </c>
      <c r="AN44" s="17">
        <v>78794</v>
      </c>
      <c r="AO44" s="17">
        <v>78817</v>
      </c>
      <c r="AP44" s="17">
        <v>78706</v>
      </c>
      <c r="AQ44" s="17">
        <v>79006</v>
      </c>
    </row>
    <row r="45" spans="1:43" ht="16" x14ac:dyDescent="0.2">
      <c r="A45" s="17">
        <v>1004</v>
      </c>
      <c r="B45" s="17" t="s">
        <v>57</v>
      </c>
      <c r="C45" s="17">
        <v>4.32</v>
      </c>
      <c r="D45" s="17">
        <v>0.6</v>
      </c>
      <c r="E45" s="17">
        <v>3.72</v>
      </c>
      <c r="F45" s="17">
        <v>27.1</v>
      </c>
      <c r="G45" s="17">
        <v>24.7</v>
      </c>
      <c r="H45" s="17">
        <v>2.4</v>
      </c>
      <c r="I45" s="17">
        <v>4.82</v>
      </c>
      <c r="J45" s="17">
        <v>83.91</v>
      </c>
      <c r="K45" s="17">
        <v>17.489999999999998</v>
      </c>
      <c r="L45" s="17">
        <v>172.4</v>
      </c>
      <c r="M45" s="17">
        <v>21.29</v>
      </c>
      <c r="N45" s="17">
        <v>1.29</v>
      </c>
      <c r="O45" s="17">
        <v>20</v>
      </c>
      <c r="P45" s="17">
        <v>1.22</v>
      </c>
      <c r="Q45" s="17">
        <v>2.0299999999999998</v>
      </c>
      <c r="R45" s="17">
        <v>-0.81</v>
      </c>
      <c r="S45" s="17">
        <v>70.819999999999993</v>
      </c>
      <c r="T45" s="17">
        <v>59.24</v>
      </c>
      <c r="U45" s="17">
        <v>11.58</v>
      </c>
      <c r="V45" s="17">
        <v>37.6</v>
      </c>
      <c r="W45" s="17">
        <v>37.200000000000003</v>
      </c>
      <c r="X45" s="17">
        <v>351.1</v>
      </c>
      <c r="Y45" s="17">
        <v>2190</v>
      </c>
      <c r="Z45" s="17">
        <v>13.89</v>
      </c>
      <c r="AA45" s="17">
        <v>336.99</v>
      </c>
      <c r="AB45" s="17">
        <v>2077</v>
      </c>
      <c r="AC45" s="17">
        <v>8.11</v>
      </c>
      <c r="AD45" s="17">
        <v>332.68</v>
      </c>
      <c r="AE45" s="17">
        <v>2085</v>
      </c>
      <c r="AF45" s="17">
        <v>6.46</v>
      </c>
      <c r="AG45" s="17">
        <v>588</v>
      </c>
      <c r="AH45" s="17">
        <v>385</v>
      </c>
      <c r="AI45" s="17">
        <v>38.248877899999997</v>
      </c>
      <c r="AJ45" s="17">
        <v>23.864129420000001</v>
      </c>
      <c r="AK45" s="17">
        <v>-14.384748</v>
      </c>
      <c r="AL45" s="17">
        <v>89.31</v>
      </c>
      <c r="AM45" s="17">
        <v>15373</v>
      </c>
      <c r="AN45" s="17">
        <v>15444</v>
      </c>
      <c r="AO45" s="17">
        <v>15604</v>
      </c>
      <c r="AP45" s="17">
        <v>15835</v>
      </c>
      <c r="AQ45" s="17">
        <v>16133</v>
      </c>
    </row>
    <row r="46" spans="1:43" ht="16" x14ac:dyDescent="0.2">
      <c r="A46" s="17">
        <v>205</v>
      </c>
      <c r="B46" s="17" t="s">
        <v>58</v>
      </c>
      <c r="C46" s="17">
        <v>3.21</v>
      </c>
      <c r="D46" s="17">
        <v>1.1499999999999999</v>
      </c>
      <c r="E46" s="17">
        <v>2.06</v>
      </c>
      <c r="F46" s="17">
        <v>45.4</v>
      </c>
      <c r="G46" s="17">
        <v>31.2</v>
      </c>
      <c r="H46" s="17">
        <v>14.2</v>
      </c>
      <c r="I46" s="17">
        <v>5.83</v>
      </c>
      <c r="J46" s="17">
        <v>105.28</v>
      </c>
      <c r="K46" s="17">
        <v>22.93</v>
      </c>
      <c r="L46" s="17">
        <v>163.69999999999999</v>
      </c>
      <c r="M46" s="17">
        <v>21.1</v>
      </c>
      <c r="N46" s="17">
        <v>2.59</v>
      </c>
      <c r="O46" s="17">
        <v>18.510000000000002</v>
      </c>
      <c r="P46" s="17">
        <v>15.03</v>
      </c>
      <c r="Q46" s="17">
        <v>23.11</v>
      </c>
      <c r="R46" s="17">
        <v>-8.08</v>
      </c>
      <c r="S46" s="17">
        <v>65.87</v>
      </c>
      <c r="T46" s="17">
        <v>53.48</v>
      </c>
      <c r="U46" s="17">
        <v>12.39</v>
      </c>
      <c r="V46" s="17">
        <v>40.700000000000003</v>
      </c>
      <c r="W46" s="17">
        <v>39.6</v>
      </c>
      <c r="X46" s="17">
        <v>349.62</v>
      </c>
      <c r="Y46" s="17">
        <v>4894</v>
      </c>
      <c r="Z46" s="17">
        <v>53.92</v>
      </c>
      <c r="AA46" s="17">
        <v>359.47</v>
      </c>
      <c r="AB46" s="17">
        <v>4697</v>
      </c>
      <c r="AC46" s="17">
        <v>53.01</v>
      </c>
      <c r="AD46" s="17">
        <v>371.31</v>
      </c>
      <c r="AE46" s="17">
        <v>4659</v>
      </c>
      <c r="AF46" s="17">
        <v>53.53</v>
      </c>
      <c r="AG46" s="17">
        <v>1437</v>
      </c>
      <c r="AH46" s="17">
        <v>812</v>
      </c>
      <c r="AI46" s="17">
        <v>41.646138239999999</v>
      </c>
      <c r="AJ46" s="17">
        <v>24.154445670000001</v>
      </c>
      <c r="AK46" s="17">
        <v>-17.491693000000001</v>
      </c>
      <c r="AL46" s="17">
        <v>101.74</v>
      </c>
      <c r="AM46" s="17">
        <v>34505</v>
      </c>
      <c r="AN46" s="17">
        <v>33919</v>
      </c>
      <c r="AO46" s="17">
        <v>33609</v>
      </c>
      <c r="AP46" s="17">
        <v>33644</v>
      </c>
      <c r="AQ46" s="17">
        <v>33617</v>
      </c>
    </row>
    <row r="47" spans="1:43" ht="16" x14ac:dyDescent="0.2">
      <c r="A47" s="17">
        <v>501</v>
      </c>
      <c r="B47" s="17" t="s">
        <v>59</v>
      </c>
      <c r="C47" s="17">
        <v>0.86</v>
      </c>
      <c r="D47" s="17">
        <v>0.16</v>
      </c>
      <c r="E47" s="17">
        <v>0.7</v>
      </c>
      <c r="F47" s="17">
        <v>42.9</v>
      </c>
      <c r="G47" s="17">
        <v>38.200000000000003</v>
      </c>
      <c r="H47" s="17">
        <v>4.7</v>
      </c>
      <c r="I47" s="17">
        <v>8.6199999999999992</v>
      </c>
      <c r="J47" s="17">
        <v>71.739999999999995</v>
      </c>
      <c r="K47" s="17">
        <v>12.24</v>
      </c>
      <c r="L47" s="17">
        <v>324.7</v>
      </c>
      <c r="M47" s="17">
        <v>19.73</v>
      </c>
      <c r="N47" s="17">
        <v>1.56</v>
      </c>
      <c r="O47" s="17">
        <v>18.170000000000002</v>
      </c>
      <c r="P47" s="17">
        <v>3.2</v>
      </c>
      <c r="Q47" s="17">
        <v>6.34</v>
      </c>
      <c r="R47" s="17">
        <v>-3.14</v>
      </c>
      <c r="S47" s="17">
        <v>59.94</v>
      </c>
      <c r="T47" s="17">
        <v>47.99</v>
      </c>
      <c r="U47" s="17">
        <v>11.95</v>
      </c>
      <c r="V47" s="17">
        <v>34.5</v>
      </c>
      <c r="W47" s="17">
        <v>36.1</v>
      </c>
      <c r="X47" s="17">
        <v>425.4</v>
      </c>
      <c r="Y47" s="17">
        <v>744</v>
      </c>
      <c r="Z47" s="17">
        <v>36.229999999999997</v>
      </c>
      <c r="AA47" s="17">
        <v>409.11</v>
      </c>
      <c r="AB47" s="17">
        <v>700</v>
      </c>
      <c r="AC47" s="17">
        <v>37.4</v>
      </c>
      <c r="AD47" s="17">
        <v>398.29</v>
      </c>
      <c r="AE47" s="17">
        <v>698</v>
      </c>
      <c r="AF47" s="17">
        <v>35.119999999999997</v>
      </c>
      <c r="AG47" s="17">
        <v>254</v>
      </c>
      <c r="AH47" s="17">
        <v>184</v>
      </c>
      <c r="AI47" s="17">
        <v>39.89319931</v>
      </c>
      <c r="AJ47" s="17">
        <v>29.783101330000001</v>
      </c>
      <c r="AK47" s="17">
        <v>-10.110098000000001</v>
      </c>
      <c r="AL47" s="17">
        <v>74.39</v>
      </c>
      <c r="AM47" s="17">
        <v>6367</v>
      </c>
      <c r="AN47" s="17">
        <v>6158</v>
      </c>
      <c r="AO47" s="17">
        <v>6180</v>
      </c>
      <c r="AP47" s="17">
        <v>6205</v>
      </c>
      <c r="AQ47" s="17">
        <v>6178</v>
      </c>
    </row>
    <row r="48" spans="1:43" ht="16" x14ac:dyDescent="0.2">
      <c r="A48" s="17">
        <v>1405</v>
      </c>
      <c r="B48" s="17" t="s">
        <v>60</v>
      </c>
      <c r="C48" s="17">
        <v>2.4900000000000002</v>
      </c>
      <c r="D48" s="17">
        <v>0.99</v>
      </c>
      <c r="E48" s="17">
        <v>1.5</v>
      </c>
      <c r="F48" s="17">
        <v>32.4</v>
      </c>
      <c r="G48" s="17">
        <v>35.200000000000003</v>
      </c>
      <c r="H48" s="17">
        <v>-2.8</v>
      </c>
      <c r="I48" s="17">
        <v>7.75</v>
      </c>
      <c r="J48" s="17">
        <v>93.88</v>
      </c>
      <c r="K48" s="17">
        <v>16.170000000000002</v>
      </c>
      <c r="L48" s="17">
        <v>138.69999999999999</v>
      </c>
      <c r="M48" s="17">
        <v>29.98</v>
      </c>
      <c r="N48" s="17">
        <v>3.09</v>
      </c>
      <c r="O48" s="17">
        <v>26.89</v>
      </c>
      <c r="P48" s="17">
        <v>6.18</v>
      </c>
      <c r="Q48" s="17">
        <v>12.65</v>
      </c>
      <c r="R48" s="17">
        <v>-6.47</v>
      </c>
      <c r="S48" s="17">
        <v>65.75</v>
      </c>
      <c r="T48" s="17">
        <v>48.94</v>
      </c>
      <c r="U48" s="17">
        <v>16.809999999999999</v>
      </c>
      <c r="V48" s="17">
        <v>39.6</v>
      </c>
      <c r="W48" s="17">
        <v>39.700000000000003</v>
      </c>
      <c r="X48" s="17">
        <v>302.8</v>
      </c>
      <c r="Y48" s="17">
        <v>3347</v>
      </c>
      <c r="Z48" s="17">
        <v>27.78</v>
      </c>
      <c r="AA48" s="17">
        <v>308.02</v>
      </c>
      <c r="AB48" s="17">
        <v>3112</v>
      </c>
      <c r="AC48" s="17">
        <v>24.61</v>
      </c>
      <c r="AD48" s="17">
        <v>303.57</v>
      </c>
      <c r="AE48" s="17">
        <v>3036</v>
      </c>
      <c r="AF48" s="17">
        <v>27.97</v>
      </c>
      <c r="AG48" s="17">
        <v>1622</v>
      </c>
      <c r="AH48" s="17">
        <v>1215</v>
      </c>
      <c r="AI48" s="17">
        <v>56.045057190000001</v>
      </c>
      <c r="AJ48" s="17">
        <v>38.45545181</v>
      </c>
      <c r="AK48" s="17">
        <v>-17.589604999999999</v>
      </c>
      <c r="AL48" s="17">
        <v>96.67</v>
      </c>
      <c r="AM48" s="17">
        <v>28941</v>
      </c>
      <c r="AN48" s="17">
        <v>29150</v>
      </c>
      <c r="AO48" s="17">
        <v>29876</v>
      </c>
      <c r="AP48" s="17">
        <v>30748</v>
      </c>
      <c r="AQ48" s="17">
        <v>31595</v>
      </c>
    </row>
    <row r="49" spans="1:43" ht="16" x14ac:dyDescent="0.2">
      <c r="A49" s="17">
        <v>1005</v>
      </c>
      <c r="B49" s="17" t="s">
        <v>61</v>
      </c>
      <c r="C49" s="17">
        <v>2.29</v>
      </c>
      <c r="D49" s="17">
        <v>0.65</v>
      </c>
      <c r="E49" s="17">
        <v>1.64</v>
      </c>
      <c r="F49" s="17">
        <v>24.4</v>
      </c>
      <c r="G49" s="17">
        <v>27.9</v>
      </c>
      <c r="H49" s="17">
        <v>-3.5</v>
      </c>
      <c r="I49" s="17">
        <v>6.86</v>
      </c>
      <c r="J49" s="17">
        <v>81.95</v>
      </c>
      <c r="K49" s="17">
        <v>14.07</v>
      </c>
      <c r="L49" s="17">
        <v>220.2</v>
      </c>
      <c r="M49" s="17">
        <v>20.18</v>
      </c>
      <c r="N49" s="17">
        <v>1.52</v>
      </c>
      <c r="O49" s="17">
        <v>18.66</v>
      </c>
      <c r="P49" s="17">
        <v>3.57</v>
      </c>
      <c r="Q49" s="17">
        <v>6.75</v>
      </c>
      <c r="R49" s="17">
        <v>-3.18</v>
      </c>
      <c r="S49" s="17">
        <v>65.69</v>
      </c>
      <c r="T49" s="17">
        <v>53.89</v>
      </c>
      <c r="U49" s="17">
        <v>11.8</v>
      </c>
      <c r="V49" s="17">
        <v>38.9</v>
      </c>
      <c r="W49" s="17">
        <v>38.700000000000003</v>
      </c>
      <c r="X49" s="17">
        <v>344.4</v>
      </c>
      <c r="Y49" s="17">
        <v>1910</v>
      </c>
      <c r="Z49" s="17">
        <v>14.29</v>
      </c>
      <c r="AA49" s="17">
        <v>364.88</v>
      </c>
      <c r="AB49" s="17">
        <v>1844</v>
      </c>
      <c r="AC49" s="17">
        <v>9.7899999999999991</v>
      </c>
      <c r="AD49" s="17">
        <v>359.89</v>
      </c>
      <c r="AE49" s="17">
        <v>1805</v>
      </c>
      <c r="AF49" s="17">
        <v>9.23</v>
      </c>
      <c r="AG49" s="17">
        <v>585</v>
      </c>
      <c r="AH49" s="17">
        <v>434</v>
      </c>
      <c r="AI49" s="17">
        <v>46.53567735</v>
      </c>
      <c r="AJ49" s="17">
        <v>32.031884269999999</v>
      </c>
      <c r="AK49" s="17">
        <v>-14.503793</v>
      </c>
      <c r="AL49" s="17">
        <v>85.27</v>
      </c>
      <c r="AM49" s="17">
        <v>12571</v>
      </c>
      <c r="AN49" s="17">
        <v>12453</v>
      </c>
      <c r="AO49" s="17">
        <v>12843</v>
      </c>
      <c r="AP49" s="17">
        <v>13233</v>
      </c>
      <c r="AQ49" s="17">
        <v>13549</v>
      </c>
    </row>
    <row r="50" spans="1:43" ht="16" x14ac:dyDescent="0.2">
      <c r="A50" s="17">
        <v>703</v>
      </c>
      <c r="B50" s="17" t="s">
        <v>62</v>
      </c>
      <c r="C50" s="17">
        <v>0.5</v>
      </c>
      <c r="D50" s="17">
        <v>0.26</v>
      </c>
      <c r="E50" s="17">
        <v>0.24</v>
      </c>
      <c r="F50" s="17">
        <v>33.1</v>
      </c>
      <c r="G50" s="17">
        <v>19.399999999999999</v>
      </c>
      <c r="H50" s="17">
        <v>13.7</v>
      </c>
      <c r="I50" s="17">
        <v>5.81</v>
      </c>
      <c r="J50" s="17">
        <v>75.510000000000005</v>
      </c>
      <c r="K50" s="17">
        <v>10.78</v>
      </c>
      <c r="L50" s="17">
        <v>246.3</v>
      </c>
      <c r="M50" s="17">
        <v>20.72</v>
      </c>
      <c r="N50" s="17">
        <v>1.94</v>
      </c>
      <c r="O50" s="17">
        <v>18.78</v>
      </c>
      <c r="P50" s="17">
        <v>6.94</v>
      </c>
      <c r="Q50" s="17">
        <v>12.64</v>
      </c>
      <c r="R50" s="17">
        <v>-5.7</v>
      </c>
      <c r="S50" s="17">
        <v>67.760000000000005</v>
      </c>
      <c r="T50" s="17">
        <v>55.23</v>
      </c>
      <c r="U50" s="17">
        <v>12.53</v>
      </c>
      <c r="V50" s="17">
        <v>34.1</v>
      </c>
      <c r="W50" s="17">
        <v>34.700000000000003</v>
      </c>
      <c r="X50" s="17">
        <v>527.17999999999995</v>
      </c>
      <c r="Y50" s="17">
        <v>918</v>
      </c>
      <c r="Z50" s="17">
        <v>47.65</v>
      </c>
      <c r="AA50" s="17">
        <v>504.38</v>
      </c>
      <c r="AB50" s="17">
        <v>905</v>
      </c>
      <c r="AC50" s="17">
        <v>47.24</v>
      </c>
      <c r="AD50" s="17">
        <v>503.34</v>
      </c>
      <c r="AE50" s="17">
        <v>901</v>
      </c>
      <c r="AF50" s="17">
        <v>44.88</v>
      </c>
      <c r="AG50" s="17">
        <v>339</v>
      </c>
      <c r="AH50" s="17">
        <v>227</v>
      </c>
      <c r="AI50" s="17">
        <v>50.066459899999998</v>
      </c>
      <c r="AJ50" s="17">
        <v>35.452131809999997</v>
      </c>
      <c r="AK50" s="17">
        <v>-14.614328</v>
      </c>
      <c r="AL50" s="17">
        <v>75.84</v>
      </c>
      <c r="AM50" s="17">
        <v>6771</v>
      </c>
      <c r="AN50" s="17">
        <v>6503</v>
      </c>
      <c r="AO50" s="17">
        <v>6487</v>
      </c>
      <c r="AP50" s="17">
        <v>6463</v>
      </c>
      <c r="AQ50" s="17">
        <v>6403</v>
      </c>
    </row>
    <row r="51" spans="1:43" ht="16" x14ac:dyDescent="0.2">
      <c r="A51" s="17">
        <v>1702</v>
      </c>
      <c r="B51" s="17" t="s">
        <v>63</v>
      </c>
      <c r="C51" s="17">
        <v>0.61</v>
      </c>
      <c r="D51" s="17">
        <v>0.04</v>
      </c>
      <c r="E51" s="17">
        <v>0.56999999999999995</v>
      </c>
      <c r="F51" s="17">
        <v>23.4</v>
      </c>
      <c r="G51" s="17">
        <v>22.4</v>
      </c>
      <c r="H51" s="17">
        <v>1</v>
      </c>
      <c r="I51" s="17">
        <v>5.73</v>
      </c>
      <c r="J51" s="17">
        <v>60.71</v>
      </c>
      <c r="K51" s="17">
        <v>9.0500000000000007</v>
      </c>
      <c r="L51" s="17">
        <v>462.1</v>
      </c>
      <c r="M51" s="17">
        <v>11.79</v>
      </c>
      <c r="N51" s="17">
        <v>0.28000000000000003</v>
      </c>
      <c r="O51" s="17">
        <v>11.51</v>
      </c>
      <c r="P51" s="17">
        <v>1.23</v>
      </c>
      <c r="Q51" s="17">
        <v>2.21</v>
      </c>
      <c r="R51" s="17">
        <v>-0.98</v>
      </c>
      <c r="S51" s="17">
        <v>48.3</v>
      </c>
      <c r="T51" s="17">
        <v>45.09</v>
      </c>
      <c r="U51" s="17">
        <v>3.21</v>
      </c>
      <c r="V51" s="17">
        <v>38.200000000000003</v>
      </c>
      <c r="W51" s="17">
        <v>38.799999999999997</v>
      </c>
      <c r="X51" s="17">
        <v>445.76</v>
      </c>
      <c r="Y51" s="17">
        <v>682</v>
      </c>
      <c r="Z51" s="17">
        <v>18.27</v>
      </c>
      <c r="AA51" s="17">
        <v>445.97</v>
      </c>
      <c r="AB51" s="17">
        <v>665</v>
      </c>
      <c r="AC51" s="17">
        <v>19.399999999999999</v>
      </c>
      <c r="AD51" s="17">
        <v>450.36</v>
      </c>
      <c r="AE51" s="17">
        <v>678</v>
      </c>
      <c r="AF51" s="17">
        <v>22.91</v>
      </c>
      <c r="AG51" s="17">
        <v>122</v>
      </c>
      <c r="AH51" s="17">
        <v>55</v>
      </c>
      <c r="AI51" s="17">
        <v>23.185100720000001</v>
      </c>
      <c r="AJ51" s="17">
        <v>11.226780979999999</v>
      </c>
      <c r="AK51" s="17">
        <v>-11.958320000000001</v>
      </c>
      <c r="AL51" s="17">
        <v>65.8</v>
      </c>
      <c r="AM51" s="17">
        <v>5262</v>
      </c>
      <c r="AN51" s="17">
        <v>5092</v>
      </c>
      <c r="AO51" s="17">
        <v>5014</v>
      </c>
      <c r="AP51" s="17">
        <v>4934</v>
      </c>
      <c r="AQ51" s="17">
        <v>4899</v>
      </c>
    </row>
    <row r="52" spans="1:43" ht="16" x14ac:dyDescent="0.2">
      <c r="A52" s="17">
        <v>303</v>
      </c>
      <c r="B52" s="17" t="s">
        <v>64</v>
      </c>
      <c r="C52" s="17">
        <v>3.77</v>
      </c>
      <c r="D52" s="17">
        <v>1.65</v>
      </c>
      <c r="E52" s="17">
        <v>2.12</v>
      </c>
      <c r="F52" s="17">
        <v>23</v>
      </c>
      <c r="G52" s="17">
        <v>25.6</v>
      </c>
      <c r="H52" s="17">
        <v>-2.6</v>
      </c>
      <c r="I52" s="17">
        <v>7.61</v>
      </c>
      <c r="J52" s="17">
        <v>108.78</v>
      </c>
      <c r="K52" s="17">
        <v>29.19</v>
      </c>
      <c r="L52" s="17">
        <v>153.4</v>
      </c>
      <c r="M52" s="17">
        <v>15.1</v>
      </c>
      <c r="N52" s="17">
        <v>0.9</v>
      </c>
      <c r="O52" s="17">
        <v>14.2</v>
      </c>
      <c r="P52" s="17">
        <v>2.5</v>
      </c>
      <c r="Q52" s="17">
        <v>5.78</v>
      </c>
      <c r="R52" s="17">
        <v>-3.28</v>
      </c>
      <c r="S52" s="17">
        <v>72.17</v>
      </c>
      <c r="T52" s="17">
        <v>60.58</v>
      </c>
      <c r="U52" s="17">
        <v>11.59</v>
      </c>
      <c r="V52" s="17">
        <v>41.1</v>
      </c>
      <c r="W52" s="17">
        <v>40.9</v>
      </c>
      <c r="X52" s="17">
        <v>263.35000000000002</v>
      </c>
      <c r="Y52" s="17">
        <v>25952</v>
      </c>
      <c r="Z52" s="17">
        <v>14.02</v>
      </c>
      <c r="AA52" s="17">
        <v>281.32</v>
      </c>
      <c r="AB52" s="17">
        <v>24124</v>
      </c>
      <c r="AC52" s="17">
        <v>14.48</v>
      </c>
      <c r="AD52" s="17">
        <v>274.86</v>
      </c>
      <c r="AE52" s="17">
        <v>22982</v>
      </c>
      <c r="AF52" s="17">
        <v>14.26</v>
      </c>
      <c r="AG52" s="17">
        <v>8027</v>
      </c>
      <c r="AH52" s="17">
        <v>5974</v>
      </c>
      <c r="AI52" s="17">
        <v>43.245194380000001</v>
      </c>
      <c r="AJ52" s="17">
        <v>30.132909640000001</v>
      </c>
      <c r="AK52" s="17">
        <v>-13.112285</v>
      </c>
      <c r="AL52" s="17">
        <v>105.39</v>
      </c>
      <c r="AM52" s="17">
        <v>185616</v>
      </c>
      <c r="AN52" s="17">
        <v>192682</v>
      </c>
      <c r="AO52" s="17">
        <v>193902</v>
      </c>
      <c r="AP52" s="17">
        <v>195274</v>
      </c>
      <c r="AQ52" s="17">
        <v>198255</v>
      </c>
    </row>
    <row r="53" spans="1:43" ht="16" x14ac:dyDescent="0.2">
      <c r="A53" s="17">
        <v>402</v>
      </c>
      <c r="B53" s="17" t="s">
        <v>65</v>
      </c>
      <c r="C53" s="17">
        <v>4.25</v>
      </c>
      <c r="D53" s="17">
        <v>2.63</v>
      </c>
      <c r="E53" s="17">
        <v>1.62</v>
      </c>
      <c r="F53" s="17">
        <v>28.4</v>
      </c>
      <c r="G53" s="17">
        <v>28</v>
      </c>
      <c r="H53" s="17">
        <v>0.4</v>
      </c>
      <c r="I53" s="17">
        <v>6.62</v>
      </c>
      <c r="J53" s="17">
        <v>96.95</v>
      </c>
      <c r="K53" s="17">
        <v>25.51</v>
      </c>
      <c r="L53" s="17">
        <v>265.3</v>
      </c>
      <c r="M53" s="17">
        <v>16.79</v>
      </c>
      <c r="N53" s="17">
        <v>1.05</v>
      </c>
      <c r="O53" s="17">
        <v>15.74</v>
      </c>
      <c r="P53" s="17">
        <v>1</v>
      </c>
      <c r="Q53" s="17">
        <v>2.2799999999999998</v>
      </c>
      <c r="R53" s="17">
        <v>-1.28</v>
      </c>
      <c r="S53" s="17">
        <v>54.82</v>
      </c>
      <c r="T53" s="17">
        <v>43.21</v>
      </c>
      <c r="U53" s="17">
        <v>11.61</v>
      </c>
      <c r="V53" s="17">
        <v>40.5</v>
      </c>
      <c r="W53" s="17">
        <v>41.3</v>
      </c>
      <c r="X53" s="17">
        <v>299.86</v>
      </c>
      <c r="Y53" s="17">
        <v>6399</v>
      </c>
      <c r="Z53" s="17">
        <v>19.8</v>
      </c>
      <c r="AA53" s="17">
        <v>315.62</v>
      </c>
      <c r="AB53" s="17">
        <v>6570</v>
      </c>
      <c r="AC53" s="17">
        <v>19.760000000000002</v>
      </c>
      <c r="AD53" s="17">
        <v>317.70999999999998</v>
      </c>
      <c r="AE53" s="17">
        <v>6332</v>
      </c>
      <c r="AF53" s="17">
        <v>18.04</v>
      </c>
      <c r="AG53" s="17">
        <v>1149</v>
      </c>
      <c r="AH53" s="17">
        <v>709</v>
      </c>
      <c r="AI53" s="17">
        <v>32.930184570000002</v>
      </c>
      <c r="AJ53" s="17">
        <v>20.236328350000001</v>
      </c>
      <c r="AK53" s="17">
        <v>-12.693856</v>
      </c>
      <c r="AL53" s="17">
        <v>95.89</v>
      </c>
      <c r="AM53" s="17">
        <v>34892</v>
      </c>
      <c r="AN53" s="17">
        <v>34987</v>
      </c>
      <c r="AO53" s="17">
        <v>34760</v>
      </c>
      <c r="AP53" s="17">
        <v>34737</v>
      </c>
      <c r="AQ53" s="17">
        <v>35036</v>
      </c>
    </row>
    <row r="54" spans="1:43" ht="16" x14ac:dyDescent="0.2">
      <c r="A54" s="17">
        <v>304</v>
      </c>
      <c r="B54" s="17" t="s">
        <v>66</v>
      </c>
      <c r="C54" s="17">
        <v>0.32</v>
      </c>
      <c r="D54" s="17">
        <v>0.09</v>
      </c>
      <c r="E54" s="17">
        <v>0.23</v>
      </c>
      <c r="F54" s="17">
        <v>22.4</v>
      </c>
      <c r="G54" s="17">
        <v>22.2</v>
      </c>
      <c r="H54" s="17">
        <v>0.2</v>
      </c>
      <c r="I54" s="17">
        <v>8.59</v>
      </c>
      <c r="J54" s="17">
        <v>66.510000000000005</v>
      </c>
      <c r="K54" s="17">
        <v>12.51</v>
      </c>
      <c r="L54" s="17">
        <v>220.1</v>
      </c>
      <c r="M54" s="17">
        <v>14.66</v>
      </c>
      <c r="N54" s="17">
        <v>0.78</v>
      </c>
      <c r="O54" s="17">
        <v>13.88</v>
      </c>
      <c r="P54" s="17">
        <v>0.8</v>
      </c>
      <c r="Q54" s="17">
        <v>1.84</v>
      </c>
      <c r="R54" s="17">
        <v>-1.04</v>
      </c>
      <c r="S54" s="17">
        <v>60.15</v>
      </c>
      <c r="T54" s="17">
        <v>51.64</v>
      </c>
      <c r="U54" s="17">
        <v>8.51</v>
      </c>
      <c r="V54" s="17">
        <v>36.299999999999997</v>
      </c>
      <c r="W54" s="17">
        <v>38</v>
      </c>
      <c r="X54" s="17">
        <v>334.07</v>
      </c>
      <c r="Y54" s="17">
        <v>1767</v>
      </c>
      <c r="Z54" s="17">
        <v>24.91</v>
      </c>
      <c r="AA54" s="17">
        <v>333.33</v>
      </c>
      <c r="AB54" s="17">
        <v>1674</v>
      </c>
      <c r="AC54" s="17">
        <v>25.69</v>
      </c>
      <c r="AD54" s="17">
        <v>327.31</v>
      </c>
      <c r="AE54" s="17">
        <v>1656</v>
      </c>
      <c r="AF54" s="17">
        <v>31.61</v>
      </c>
      <c r="AG54" s="17">
        <v>559</v>
      </c>
      <c r="AH54" s="17">
        <v>396</v>
      </c>
      <c r="AI54" s="17">
        <v>35.279267910000002</v>
      </c>
      <c r="AJ54" s="17">
        <v>25.533561160000001</v>
      </c>
      <c r="AK54" s="17">
        <v>-9.7457066999999995</v>
      </c>
      <c r="AL54" s="17">
        <v>69.02</v>
      </c>
      <c r="AM54" s="17">
        <v>15845</v>
      </c>
      <c r="AN54" s="17">
        <v>15613</v>
      </c>
      <c r="AO54" s="17">
        <v>15640</v>
      </c>
      <c r="AP54" s="17">
        <v>15530</v>
      </c>
      <c r="AQ54" s="17">
        <v>15509</v>
      </c>
    </row>
    <row r="55" spans="1:43" ht="16" x14ac:dyDescent="0.2">
      <c r="A55" s="17">
        <v>1104</v>
      </c>
      <c r="B55" s="17" t="s">
        <v>67</v>
      </c>
      <c r="C55" s="17">
        <v>1.2</v>
      </c>
      <c r="D55" s="17">
        <v>0.55000000000000004</v>
      </c>
      <c r="E55" s="17">
        <v>0.65</v>
      </c>
      <c r="F55" s="17">
        <v>22.6</v>
      </c>
      <c r="G55" s="17">
        <v>23.7</v>
      </c>
      <c r="H55" s="17">
        <v>-1.1000000000000001</v>
      </c>
      <c r="I55" s="17">
        <v>6.38</v>
      </c>
      <c r="J55" s="17">
        <v>72.36</v>
      </c>
      <c r="K55" s="17">
        <v>11.7</v>
      </c>
      <c r="L55" s="17">
        <v>255.6</v>
      </c>
      <c r="M55" s="17">
        <v>21.46</v>
      </c>
      <c r="N55" s="17">
        <v>1.69</v>
      </c>
      <c r="O55" s="17">
        <v>19.77</v>
      </c>
      <c r="P55" s="17">
        <v>2.2599999999999998</v>
      </c>
      <c r="Q55" s="17">
        <v>3.95</v>
      </c>
      <c r="R55" s="17">
        <v>-1.69</v>
      </c>
      <c r="S55" s="17">
        <v>65.53</v>
      </c>
      <c r="T55" s="17">
        <v>54.51</v>
      </c>
      <c r="U55" s="17">
        <v>11.02</v>
      </c>
      <c r="V55" s="17">
        <v>37.4</v>
      </c>
      <c r="W55" s="17">
        <v>38.5</v>
      </c>
      <c r="X55" s="17">
        <v>380.58</v>
      </c>
      <c r="Y55" s="17">
        <v>1862</v>
      </c>
      <c r="Z55" s="17">
        <v>14.73</v>
      </c>
      <c r="AA55" s="17">
        <v>383.92</v>
      </c>
      <c r="AB55" s="17">
        <v>1836</v>
      </c>
      <c r="AC55" s="17">
        <v>13.57</v>
      </c>
      <c r="AD55" s="17">
        <v>381.85</v>
      </c>
      <c r="AE55" s="17">
        <v>1817</v>
      </c>
      <c r="AF55" s="17">
        <v>10.82</v>
      </c>
      <c r="AG55" s="17">
        <v>676</v>
      </c>
      <c r="AH55" s="17">
        <v>487</v>
      </c>
      <c r="AI55" s="17">
        <v>50.02960332</v>
      </c>
      <c r="AJ55" s="17">
        <v>34.61757179</v>
      </c>
      <c r="AK55" s="17">
        <v>-15.412032</v>
      </c>
      <c r="AL55" s="17">
        <v>76.03</v>
      </c>
      <c r="AM55" s="17">
        <v>13512</v>
      </c>
      <c r="AN55" s="17">
        <v>13220</v>
      </c>
      <c r="AO55" s="17">
        <v>13500</v>
      </c>
      <c r="AP55" s="17">
        <v>13840</v>
      </c>
      <c r="AQ55" s="17">
        <v>14068</v>
      </c>
    </row>
    <row r="56" spans="1:43" ht="16" x14ac:dyDescent="0.2">
      <c r="A56" s="17">
        <v>1006</v>
      </c>
      <c r="B56" s="17" t="s">
        <v>68</v>
      </c>
      <c r="C56" s="17">
        <v>3.97</v>
      </c>
      <c r="D56" s="17">
        <v>1.42</v>
      </c>
      <c r="E56" s="17">
        <v>2.5499999999999998</v>
      </c>
      <c r="F56" s="17">
        <v>24.3</v>
      </c>
      <c r="G56" s="17">
        <v>25.3</v>
      </c>
      <c r="H56" s="17">
        <v>-1</v>
      </c>
      <c r="I56" s="17">
        <v>7.46</v>
      </c>
      <c r="J56" s="17">
        <v>98.06</v>
      </c>
      <c r="K56" s="17">
        <v>19.809999999999999</v>
      </c>
      <c r="L56" s="17">
        <v>221.2</v>
      </c>
      <c r="M56" s="17">
        <v>18.899999999999999</v>
      </c>
      <c r="N56" s="17">
        <v>1.49</v>
      </c>
      <c r="O56" s="17">
        <v>17.41</v>
      </c>
      <c r="P56" s="17">
        <v>2.13</v>
      </c>
      <c r="Q56" s="17">
        <v>4.2699999999999996</v>
      </c>
      <c r="R56" s="17">
        <v>-2.14</v>
      </c>
      <c r="S56" s="17">
        <v>65.239999999999995</v>
      </c>
      <c r="T56" s="17">
        <v>51.56</v>
      </c>
      <c r="U56" s="17">
        <v>13.68</v>
      </c>
      <c r="V56" s="17">
        <v>40.1</v>
      </c>
      <c r="W56" s="17">
        <v>40.299999999999997</v>
      </c>
      <c r="X56" s="17">
        <v>338.41</v>
      </c>
      <c r="Y56" s="17">
        <v>7663</v>
      </c>
      <c r="Z56" s="17">
        <v>14.63</v>
      </c>
      <c r="AA56" s="17">
        <v>339.07</v>
      </c>
      <c r="AB56" s="17">
        <v>7151</v>
      </c>
      <c r="AC56" s="17">
        <v>12.79</v>
      </c>
      <c r="AD56" s="17">
        <v>340.23</v>
      </c>
      <c r="AE56" s="17">
        <v>7143</v>
      </c>
      <c r="AF56" s="17">
        <v>8.89</v>
      </c>
      <c r="AG56" s="17">
        <v>2209</v>
      </c>
      <c r="AH56" s="17">
        <v>1594</v>
      </c>
      <c r="AI56" s="17">
        <v>43.557991880000003</v>
      </c>
      <c r="AJ56" s="17">
        <v>30.224312179999998</v>
      </c>
      <c r="AK56" s="17">
        <v>-13.333679999999999</v>
      </c>
      <c r="AL56" s="17">
        <v>98.79</v>
      </c>
      <c r="AM56" s="17">
        <v>50714</v>
      </c>
      <c r="AN56" s="17">
        <v>50869</v>
      </c>
      <c r="AO56" s="17">
        <v>51237</v>
      </c>
      <c r="AP56" s="17">
        <v>51974</v>
      </c>
      <c r="AQ56" s="17">
        <v>52739</v>
      </c>
    </row>
    <row r="57" spans="1:43" ht="16" x14ac:dyDescent="0.2">
      <c r="A57" s="17">
        <v>1602</v>
      </c>
      <c r="B57" s="17" t="s">
        <v>69</v>
      </c>
      <c r="C57" s="17">
        <v>2.4500000000000002</v>
      </c>
      <c r="D57" s="17">
        <v>0.59</v>
      </c>
      <c r="E57" s="17">
        <v>1.86</v>
      </c>
      <c r="F57" s="17">
        <v>35.6</v>
      </c>
      <c r="G57" s="17">
        <v>32.799999999999997</v>
      </c>
      <c r="H57" s="17">
        <v>2.8</v>
      </c>
      <c r="I57" s="17">
        <v>6.82</v>
      </c>
      <c r="J57" s="17">
        <v>79.25</v>
      </c>
      <c r="K57" s="17">
        <v>18.13</v>
      </c>
      <c r="L57" s="17">
        <v>284.8</v>
      </c>
      <c r="M57" s="17">
        <v>18.23</v>
      </c>
      <c r="N57" s="17">
        <v>0.69</v>
      </c>
      <c r="O57" s="17">
        <v>17.54</v>
      </c>
      <c r="P57" s="17">
        <v>2.65</v>
      </c>
      <c r="Q57" s="17">
        <v>3.85</v>
      </c>
      <c r="R57" s="17">
        <v>-1.2</v>
      </c>
      <c r="S57" s="17">
        <v>64.41</v>
      </c>
      <c r="T57" s="17">
        <v>53.27</v>
      </c>
      <c r="U57" s="17">
        <v>11.14</v>
      </c>
      <c r="V57" s="17">
        <v>40.200000000000003</v>
      </c>
      <c r="W57" s="17">
        <v>41.5</v>
      </c>
      <c r="X57" s="17">
        <v>377.29</v>
      </c>
      <c r="Y57" s="17">
        <v>2466</v>
      </c>
      <c r="Z57" s="17">
        <v>16.61</v>
      </c>
      <c r="AA57" s="17">
        <v>387.11</v>
      </c>
      <c r="AB57" s="17">
        <v>2362</v>
      </c>
      <c r="AC57" s="17">
        <v>12.63</v>
      </c>
      <c r="AD57" s="17">
        <v>374.77</v>
      </c>
      <c r="AE57" s="17">
        <v>2303</v>
      </c>
      <c r="AF57" s="17">
        <v>11.89</v>
      </c>
      <c r="AG57" s="17">
        <v>554</v>
      </c>
      <c r="AH57" s="17">
        <v>404</v>
      </c>
      <c r="AI57" s="17">
        <v>34.655323410000001</v>
      </c>
      <c r="AJ57" s="17">
        <v>24.929038630000001</v>
      </c>
      <c r="AK57" s="17">
        <v>-9.7262848000000002</v>
      </c>
      <c r="AL57" s="17">
        <v>86.45</v>
      </c>
      <c r="AM57" s="17">
        <v>15986</v>
      </c>
      <c r="AN57" s="17">
        <v>15843</v>
      </c>
      <c r="AO57" s="17">
        <v>15883</v>
      </c>
      <c r="AP57" s="17">
        <v>15950</v>
      </c>
      <c r="AQ57" s="17">
        <v>16206</v>
      </c>
    </row>
    <row r="58" spans="1:43" ht="16" x14ac:dyDescent="0.2">
      <c r="A58" s="17">
        <v>1204</v>
      </c>
      <c r="B58" s="17" t="s">
        <v>70</v>
      </c>
      <c r="C58" s="17">
        <v>0.53</v>
      </c>
      <c r="D58" s="17">
        <v>0.34</v>
      </c>
      <c r="E58" s="17">
        <v>0.19</v>
      </c>
      <c r="F58" s="17">
        <v>49.8</v>
      </c>
      <c r="G58" s="17">
        <v>44.8</v>
      </c>
      <c r="H58" s="17">
        <v>5</v>
      </c>
      <c r="I58" s="17">
        <v>6.72</v>
      </c>
      <c r="J58" s="17">
        <v>95.81</v>
      </c>
      <c r="K58" s="17">
        <v>13.69</v>
      </c>
      <c r="L58" s="17">
        <v>181</v>
      </c>
      <c r="M58" s="17">
        <v>26.55</v>
      </c>
      <c r="N58" s="17">
        <v>1.65</v>
      </c>
      <c r="O58" s="17">
        <v>24.9</v>
      </c>
      <c r="P58" s="17">
        <v>10.52</v>
      </c>
      <c r="Q58" s="17">
        <v>15.9</v>
      </c>
      <c r="R58" s="17">
        <v>-5.38</v>
      </c>
      <c r="S58" s="17">
        <v>65.03</v>
      </c>
      <c r="T58" s="17">
        <v>52.39</v>
      </c>
      <c r="U58" s="17">
        <v>12.64</v>
      </c>
      <c r="V58" s="17">
        <v>36.4</v>
      </c>
      <c r="W58" s="17">
        <v>38.1</v>
      </c>
      <c r="X58" s="17">
        <v>373.77</v>
      </c>
      <c r="Y58" s="17">
        <v>751</v>
      </c>
      <c r="Z58" s="17">
        <v>56.23</v>
      </c>
      <c r="AA58" s="17">
        <v>384.86</v>
      </c>
      <c r="AB58" s="17">
        <v>768</v>
      </c>
      <c r="AC58" s="17">
        <v>53.97</v>
      </c>
      <c r="AD58" s="17">
        <v>384.9</v>
      </c>
      <c r="AE58" s="17">
        <v>760</v>
      </c>
      <c r="AF58" s="17">
        <v>53.33</v>
      </c>
      <c r="AG58" s="17">
        <v>404</v>
      </c>
      <c r="AH58" s="17">
        <v>313</v>
      </c>
      <c r="AI58" s="17">
        <v>48.993451370000002</v>
      </c>
      <c r="AJ58" s="17">
        <v>39.34137758</v>
      </c>
      <c r="AK58" s="17">
        <v>-9.6520738000000001</v>
      </c>
      <c r="AL58" s="17">
        <v>90.58</v>
      </c>
      <c r="AM58" s="17">
        <v>8246</v>
      </c>
      <c r="AN58" s="17">
        <v>8168</v>
      </c>
      <c r="AO58" s="17">
        <v>8115</v>
      </c>
      <c r="AP58" s="17">
        <v>8031</v>
      </c>
      <c r="AQ58" s="17">
        <v>7956</v>
      </c>
    </row>
    <row r="59" spans="1:43" ht="16" x14ac:dyDescent="0.2">
      <c r="A59" s="17">
        <v>602</v>
      </c>
      <c r="B59" s="17" t="s">
        <v>71</v>
      </c>
      <c r="C59" s="17">
        <v>1.2</v>
      </c>
      <c r="D59" s="17">
        <v>0.35</v>
      </c>
      <c r="E59" s="17">
        <v>0.85</v>
      </c>
      <c r="F59" s="17">
        <v>30.9</v>
      </c>
      <c r="G59" s="17">
        <v>32.700000000000003</v>
      </c>
      <c r="H59" s="17">
        <v>-1.8</v>
      </c>
      <c r="I59" s="17">
        <v>5.29</v>
      </c>
      <c r="J59" s="17">
        <v>81.180000000000007</v>
      </c>
      <c r="K59" s="17">
        <v>16.88</v>
      </c>
      <c r="L59" s="17">
        <v>273.2</v>
      </c>
      <c r="M59" s="17">
        <v>19.43</v>
      </c>
      <c r="N59" s="17">
        <v>0.81</v>
      </c>
      <c r="O59" s="17">
        <v>18.62</v>
      </c>
      <c r="P59" s="17">
        <v>1.33</v>
      </c>
      <c r="Q59" s="17">
        <v>2.89</v>
      </c>
      <c r="R59" s="17">
        <v>-1.56</v>
      </c>
      <c r="S59" s="17">
        <v>59.55</v>
      </c>
      <c r="T59" s="17">
        <v>47.79</v>
      </c>
      <c r="U59" s="17">
        <v>11.76</v>
      </c>
      <c r="V59" s="17">
        <v>38.200000000000003</v>
      </c>
      <c r="W59" s="17">
        <v>39</v>
      </c>
      <c r="X59" s="17">
        <v>382.66</v>
      </c>
      <c r="Y59" s="17">
        <v>5146</v>
      </c>
      <c r="Z59" s="17">
        <v>15.99</v>
      </c>
      <c r="AA59" s="17">
        <v>373.88</v>
      </c>
      <c r="AB59" s="17">
        <v>5056</v>
      </c>
      <c r="AC59" s="17">
        <v>15.3</v>
      </c>
      <c r="AD59" s="17">
        <v>373.36</v>
      </c>
      <c r="AE59" s="17">
        <v>5087</v>
      </c>
      <c r="AF59" s="17">
        <v>15.97</v>
      </c>
      <c r="AG59" s="17">
        <v>1191</v>
      </c>
      <c r="AH59" s="17">
        <v>867</v>
      </c>
      <c r="AI59" s="17">
        <v>34.148579290000001</v>
      </c>
      <c r="AJ59" s="17">
        <v>25.169831039999998</v>
      </c>
      <c r="AK59" s="17">
        <v>-8.9787482999999995</v>
      </c>
      <c r="AL59" s="17">
        <v>84.39</v>
      </c>
      <c r="AM59" s="17">
        <v>34877</v>
      </c>
      <c r="AN59" s="17">
        <v>34445</v>
      </c>
      <c r="AO59" s="17">
        <v>34429</v>
      </c>
      <c r="AP59" s="17">
        <v>34391</v>
      </c>
      <c r="AQ59" s="17">
        <v>34446</v>
      </c>
    </row>
    <row r="60" spans="1:43" ht="16" x14ac:dyDescent="0.2">
      <c r="A60" s="17">
        <v>403</v>
      </c>
      <c r="B60" s="17" t="s">
        <v>72</v>
      </c>
      <c r="C60" s="17">
        <v>0.72</v>
      </c>
      <c r="D60" s="17">
        <v>0.14000000000000001</v>
      </c>
      <c r="E60" s="17">
        <v>0.57999999999999996</v>
      </c>
      <c r="F60" s="17">
        <v>21.6</v>
      </c>
      <c r="G60" s="17">
        <v>21.2</v>
      </c>
      <c r="H60" s="17">
        <v>0.4</v>
      </c>
      <c r="I60" s="17">
        <v>9.92</v>
      </c>
      <c r="J60" s="17">
        <v>62.14</v>
      </c>
      <c r="K60" s="17">
        <v>10.52</v>
      </c>
      <c r="L60" s="17">
        <v>471.4</v>
      </c>
      <c r="M60" s="17">
        <v>19.760000000000002</v>
      </c>
      <c r="N60" s="17">
        <v>0.69</v>
      </c>
      <c r="O60" s="17">
        <v>19.07</v>
      </c>
      <c r="P60" s="17">
        <v>0.89</v>
      </c>
      <c r="Q60" s="17">
        <v>1.74</v>
      </c>
      <c r="R60" s="17">
        <v>-0.85</v>
      </c>
      <c r="S60" s="17">
        <v>57.68</v>
      </c>
      <c r="T60" s="17">
        <v>48.13</v>
      </c>
      <c r="U60" s="17">
        <v>9.5500000000000007</v>
      </c>
      <c r="V60" s="17">
        <v>38</v>
      </c>
      <c r="W60" s="17">
        <v>39.5</v>
      </c>
      <c r="X60" s="17">
        <v>458.52</v>
      </c>
      <c r="Y60" s="17">
        <v>1028</v>
      </c>
      <c r="Z60" s="17">
        <v>31.24</v>
      </c>
      <c r="AA60" s="17">
        <v>451.09</v>
      </c>
      <c r="AB60" s="17">
        <v>1041</v>
      </c>
      <c r="AC60" s="17">
        <v>23.37</v>
      </c>
      <c r="AD60" s="17">
        <v>452.57</v>
      </c>
      <c r="AE60" s="17">
        <v>1116</v>
      </c>
      <c r="AF60" s="17">
        <v>28.59</v>
      </c>
      <c r="AG60" s="17">
        <v>168</v>
      </c>
      <c r="AH60" s="17">
        <v>99</v>
      </c>
      <c r="AI60" s="17">
        <v>29.278494250000001</v>
      </c>
      <c r="AJ60" s="17">
        <v>18.346923650000001</v>
      </c>
      <c r="AK60" s="17">
        <v>-10.931571</v>
      </c>
      <c r="AL60" s="17">
        <v>67.92</v>
      </c>
      <c r="AM60" s="17">
        <v>5738</v>
      </c>
      <c r="AN60" s="17">
        <v>5601</v>
      </c>
      <c r="AO60" s="17">
        <v>5515</v>
      </c>
      <c r="AP60" s="17">
        <v>5425</v>
      </c>
      <c r="AQ60" s="17">
        <v>5396</v>
      </c>
    </row>
    <row r="61" spans="1:43" ht="16" x14ac:dyDescent="0.2">
      <c r="A61" s="17">
        <v>1802</v>
      </c>
      <c r="B61" s="17" t="s">
        <v>73</v>
      </c>
      <c r="C61" s="17">
        <v>1.24</v>
      </c>
      <c r="D61" s="17">
        <v>0.31</v>
      </c>
      <c r="E61" s="17">
        <v>0.93</v>
      </c>
      <c r="F61" s="17">
        <v>26.1</v>
      </c>
      <c r="G61" s="17">
        <v>28.3</v>
      </c>
      <c r="H61" s="17">
        <v>-2.2000000000000002</v>
      </c>
      <c r="I61" s="17">
        <v>6.23</v>
      </c>
      <c r="J61" s="17">
        <v>72.73</v>
      </c>
      <c r="K61" s="17">
        <v>11</v>
      </c>
      <c r="L61" s="17">
        <v>300.3</v>
      </c>
      <c r="M61" s="17">
        <v>20.329999999999998</v>
      </c>
      <c r="N61" s="17">
        <v>1.31</v>
      </c>
      <c r="O61" s="17">
        <v>19.02</v>
      </c>
      <c r="P61" s="17">
        <v>1.17</v>
      </c>
      <c r="Q61" s="17">
        <v>1.77</v>
      </c>
      <c r="R61" s="17">
        <v>-0.6</v>
      </c>
      <c r="S61" s="17">
        <v>58.61</v>
      </c>
      <c r="T61" s="17">
        <v>47.6</v>
      </c>
      <c r="U61" s="17">
        <v>11.01</v>
      </c>
      <c r="V61" s="17">
        <v>35</v>
      </c>
      <c r="W61" s="17">
        <v>36.6</v>
      </c>
      <c r="X61" s="17">
        <v>410.43</v>
      </c>
      <c r="Y61" s="17">
        <v>917</v>
      </c>
      <c r="Z61" s="17">
        <v>21.95</v>
      </c>
      <c r="AA61" s="17">
        <v>402.78</v>
      </c>
      <c r="AB61" s="17">
        <v>885</v>
      </c>
      <c r="AC61" s="17">
        <v>20.22</v>
      </c>
      <c r="AD61" s="17">
        <v>398.42</v>
      </c>
      <c r="AE61" s="17">
        <v>857</v>
      </c>
      <c r="AF61" s="17">
        <v>18.95</v>
      </c>
      <c r="AG61" s="17">
        <v>336</v>
      </c>
      <c r="AH61" s="17">
        <v>249</v>
      </c>
      <c r="AI61" s="17">
        <v>36.140690550000002</v>
      </c>
      <c r="AJ61" s="17">
        <v>27.428949110000001</v>
      </c>
      <c r="AK61" s="17">
        <v>-8.7117413999999993</v>
      </c>
      <c r="AL61" s="17">
        <v>72.87</v>
      </c>
      <c r="AM61" s="17">
        <v>9297</v>
      </c>
      <c r="AN61" s="17">
        <v>9125</v>
      </c>
      <c r="AO61" s="17">
        <v>9099</v>
      </c>
      <c r="AP61" s="17">
        <v>9086</v>
      </c>
      <c r="AQ61" s="17">
        <v>9078</v>
      </c>
    </row>
    <row r="62" spans="1:43" ht="16" x14ac:dyDescent="0.2">
      <c r="A62" s="17">
        <v>1406</v>
      </c>
      <c r="B62" s="17" t="s">
        <v>74</v>
      </c>
      <c r="C62" s="17">
        <v>1.82</v>
      </c>
      <c r="D62" s="17">
        <v>0.51</v>
      </c>
      <c r="E62" s="17">
        <v>1.31</v>
      </c>
      <c r="F62" s="17">
        <v>28.1</v>
      </c>
      <c r="G62" s="17">
        <v>25.8</v>
      </c>
      <c r="H62" s="17">
        <v>2.2999999999999998</v>
      </c>
      <c r="I62" s="17">
        <v>7.75</v>
      </c>
      <c r="J62" s="17">
        <v>87.19</v>
      </c>
      <c r="K62" s="17">
        <v>16.62</v>
      </c>
      <c r="L62" s="17">
        <v>203.5</v>
      </c>
      <c r="M62" s="17">
        <v>23.89</v>
      </c>
      <c r="N62" s="17">
        <v>2.5099999999999998</v>
      </c>
      <c r="O62" s="17">
        <v>21.38</v>
      </c>
      <c r="P62" s="17">
        <v>4.1399999999999997</v>
      </c>
      <c r="Q62" s="17">
        <v>8.5500000000000007</v>
      </c>
      <c r="R62" s="17">
        <v>-4.41</v>
      </c>
      <c r="S62" s="17">
        <v>66.959999999999994</v>
      </c>
      <c r="T62" s="17">
        <v>53.77</v>
      </c>
      <c r="U62" s="17">
        <v>13.19</v>
      </c>
      <c r="V62" s="17">
        <v>37.200000000000003</v>
      </c>
      <c r="W62" s="17">
        <v>37.5</v>
      </c>
      <c r="X62" s="17">
        <v>366.92</v>
      </c>
      <c r="Y62" s="17">
        <v>2469</v>
      </c>
      <c r="Z62" s="17">
        <v>11.05</v>
      </c>
      <c r="AA62" s="17">
        <v>365.36</v>
      </c>
      <c r="AB62" s="17">
        <v>2371</v>
      </c>
      <c r="AC62" s="17">
        <v>10.57</v>
      </c>
      <c r="AD62" s="17">
        <v>366.02</v>
      </c>
      <c r="AE62" s="17">
        <v>2294</v>
      </c>
      <c r="AF62" s="17">
        <v>11.13</v>
      </c>
      <c r="AG62" s="17">
        <v>1196</v>
      </c>
      <c r="AH62" s="17">
        <v>825</v>
      </c>
      <c r="AI62" s="17">
        <v>51.148270109999999</v>
      </c>
      <c r="AJ62" s="17">
        <v>34.37929741</v>
      </c>
      <c r="AK62" s="17">
        <v>-16.768972999999999</v>
      </c>
      <c r="AL62" s="17">
        <v>90.17</v>
      </c>
      <c r="AM62" s="17">
        <v>23383</v>
      </c>
      <c r="AN62" s="17">
        <v>22981</v>
      </c>
      <c r="AO62" s="17">
        <v>23320</v>
      </c>
      <c r="AP62" s="17">
        <v>23707</v>
      </c>
      <c r="AQ62" s="17">
        <v>23997</v>
      </c>
    </row>
    <row r="63" spans="1:43" ht="16" x14ac:dyDescent="0.2">
      <c r="A63" s="17">
        <v>1105</v>
      </c>
      <c r="B63" s="17" t="s">
        <v>75</v>
      </c>
      <c r="C63" s="17">
        <v>4.53</v>
      </c>
      <c r="D63" s="17">
        <v>2.73</v>
      </c>
      <c r="E63" s="17">
        <v>1.8</v>
      </c>
      <c r="F63" s="17">
        <v>28.2</v>
      </c>
      <c r="G63" s="17">
        <v>30</v>
      </c>
      <c r="H63" s="17">
        <v>-1.8</v>
      </c>
      <c r="I63" s="17">
        <v>8.2799999999999994</v>
      </c>
      <c r="J63" s="17">
        <v>117.95</v>
      </c>
      <c r="K63" s="17">
        <v>35.11</v>
      </c>
      <c r="L63" s="17">
        <v>173.8</v>
      </c>
      <c r="M63" s="17">
        <v>16.489999999999998</v>
      </c>
      <c r="N63" s="17">
        <v>1.71</v>
      </c>
      <c r="O63" s="17">
        <v>14.78</v>
      </c>
      <c r="P63" s="17">
        <v>2.48</v>
      </c>
      <c r="Q63" s="17">
        <v>5.38</v>
      </c>
      <c r="R63" s="17">
        <v>-2.9</v>
      </c>
      <c r="S63" s="17">
        <v>68.41</v>
      </c>
      <c r="T63" s="17">
        <v>55.82</v>
      </c>
      <c r="U63" s="17">
        <v>12.59</v>
      </c>
      <c r="V63" s="17">
        <v>46.1</v>
      </c>
      <c r="W63" s="17">
        <v>46.4</v>
      </c>
      <c r="X63" s="17">
        <v>287.82</v>
      </c>
      <c r="Y63" s="17">
        <v>36356</v>
      </c>
      <c r="Z63" s="17">
        <v>24.04</v>
      </c>
      <c r="AA63" s="17">
        <v>290.27</v>
      </c>
      <c r="AB63" s="17">
        <v>33630</v>
      </c>
      <c r="AC63" s="17">
        <v>20.95</v>
      </c>
      <c r="AD63" s="17">
        <v>287.14999999999998</v>
      </c>
      <c r="AE63" s="17">
        <v>32267</v>
      </c>
      <c r="AF63" s="17">
        <v>18.79</v>
      </c>
      <c r="AG63" s="17">
        <v>7964</v>
      </c>
      <c r="AH63" s="17">
        <v>5990</v>
      </c>
      <c r="AI63" s="17">
        <v>37.812353109999997</v>
      </c>
      <c r="AJ63" s="17">
        <v>27.574968009999999</v>
      </c>
      <c r="AK63" s="17">
        <v>-10.237385</v>
      </c>
      <c r="AL63" s="17">
        <v>121.83</v>
      </c>
      <c r="AM63" s="17">
        <v>210619</v>
      </c>
      <c r="AN63" s="17">
        <v>214881</v>
      </c>
      <c r="AO63" s="17">
        <v>215048</v>
      </c>
      <c r="AP63" s="17">
        <v>213876</v>
      </c>
      <c r="AQ63" s="17">
        <v>217226</v>
      </c>
    </row>
    <row r="64" spans="1:43" ht="16" x14ac:dyDescent="0.2">
      <c r="A64" s="17">
        <v>1007</v>
      </c>
      <c r="B64" s="17" t="s">
        <v>76</v>
      </c>
      <c r="C64" s="17">
        <v>1.37</v>
      </c>
      <c r="D64" s="17">
        <v>0.62</v>
      </c>
      <c r="E64" s="17">
        <v>0.75</v>
      </c>
      <c r="F64" s="17">
        <v>36.299999999999997</v>
      </c>
      <c r="G64" s="17">
        <v>26.1</v>
      </c>
      <c r="H64" s="17">
        <v>10.199999999999999</v>
      </c>
      <c r="I64" s="17">
        <v>7.63</v>
      </c>
      <c r="J64" s="17">
        <v>66.56</v>
      </c>
      <c r="K64" s="17">
        <v>7.96</v>
      </c>
      <c r="L64" s="17">
        <v>539</v>
      </c>
      <c r="M64" s="17">
        <v>14.01</v>
      </c>
      <c r="N64" s="17">
        <v>0.41</v>
      </c>
      <c r="O64" s="17">
        <v>13.6</v>
      </c>
      <c r="P64" s="17">
        <v>1.63</v>
      </c>
      <c r="Q64" s="17">
        <v>2.71</v>
      </c>
      <c r="R64" s="17">
        <v>-1.08</v>
      </c>
      <c r="S64" s="17">
        <v>64.56</v>
      </c>
      <c r="T64" s="17">
        <v>55.88</v>
      </c>
      <c r="U64" s="17">
        <v>8.68</v>
      </c>
      <c r="V64" s="17">
        <v>33.9</v>
      </c>
      <c r="W64" s="17">
        <v>30</v>
      </c>
      <c r="X64" s="17">
        <v>587.72</v>
      </c>
      <c r="Y64" s="17">
        <v>258</v>
      </c>
      <c r="Z64" s="17">
        <v>25.67</v>
      </c>
      <c r="AA64" s="17">
        <v>626.41999999999996</v>
      </c>
      <c r="AB64" s="17">
        <v>273</v>
      </c>
      <c r="AC64" s="17">
        <v>21.27</v>
      </c>
      <c r="AD64" s="17">
        <v>639.37</v>
      </c>
      <c r="AE64" s="17">
        <v>258</v>
      </c>
      <c r="AF64" s="17">
        <v>38.71</v>
      </c>
      <c r="AG64" s="17">
        <v>86</v>
      </c>
      <c r="AH64" s="17">
        <v>49</v>
      </c>
      <c r="AI64" s="17">
        <v>30.228470999999999</v>
      </c>
      <c r="AJ64" s="17">
        <v>18.269947800000001</v>
      </c>
      <c r="AK64" s="17">
        <v>-11.958523</v>
      </c>
      <c r="AL64" s="17">
        <v>72.540000000000006</v>
      </c>
      <c r="AM64" s="17">
        <v>2845</v>
      </c>
      <c r="AN64" s="17">
        <v>2716</v>
      </c>
      <c r="AO64" s="17">
        <v>2688</v>
      </c>
      <c r="AP64" s="17">
        <v>2694</v>
      </c>
      <c r="AQ64" s="17">
        <v>2682</v>
      </c>
    </row>
    <row r="65" spans="1:43" ht="16" x14ac:dyDescent="0.2">
      <c r="A65" s="17">
        <v>502</v>
      </c>
      <c r="B65" s="17" t="s">
        <v>77</v>
      </c>
      <c r="C65" s="17">
        <v>2.46</v>
      </c>
      <c r="D65" s="17">
        <v>0.79</v>
      </c>
      <c r="E65" s="17">
        <v>1.67</v>
      </c>
      <c r="F65" s="17">
        <v>32.799999999999997</v>
      </c>
      <c r="G65" s="17">
        <v>30</v>
      </c>
      <c r="H65" s="17">
        <v>2.8</v>
      </c>
      <c r="I65" s="17">
        <v>5.67</v>
      </c>
      <c r="J65" s="17">
        <v>96.45</v>
      </c>
      <c r="K65" s="17">
        <v>22.11</v>
      </c>
      <c r="L65" s="17">
        <v>251.8</v>
      </c>
      <c r="M65" s="17">
        <v>24.24</v>
      </c>
      <c r="N65" s="17">
        <v>1.82</v>
      </c>
      <c r="O65" s="17">
        <v>22.42</v>
      </c>
      <c r="P65" s="17">
        <v>1.86</v>
      </c>
      <c r="Q65" s="17">
        <v>4.28</v>
      </c>
      <c r="R65" s="17">
        <v>-2.42</v>
      </c>
      <c r="S65" s="17">
        <v>67.150000000000006</v>
      </c>
      <c r="T65" s="17">
        <v>54.34</v>
      </c>
      <c r="U65" s="17">
        <v>12.81</v>
      </c>
      <c r="V65" s="17">
        <v>38.200000000000003</v>
      </c>
      <c r="W65" s="17">
        <v>38.799999999999997</v>
      </c>
      <c r="X65" s="17">
        <v>366.79</v>
      </c>
      <c r="Y65" s="17">
        <v>6131</v>
      </c>
      <c r="Z65" s="17">
        <v>27.36</v>
      </c>
      <c r="AA65" s="17">
        <v>371.21</v>
      </c>
      <c r="AB65" s="17">
        <v>5900</v>
      </c>
      <c r="AC65" s="17">
        <v>25.29</v>
      </c>
      <c r="AD65" s="17">
        <v>372.59</v>
      </c>
      <c r="AE65" s="17">
        <v>5923</v>
      </c>
      <c r="AF65" s="17">
        <v>27.5</v>
      </c>
      <c r="AG65" s="17">
        <v>2109</v>
      </c>
      <c r="AH65" s="17">
        <v>1641</v>
      </c>
      <c r="AI65" s="17">
        <v>39.307414170000001</v>
      </c>
      <c r="AJ65" s="17">
        <v>31.257142859999998</v>
      </c>
      <c r="AK65" s="17">
        <v>-8.0502713000000004</v>
      </c>
      <c r="AL65" s="17">
        <v>96.2</v>
      </c>
      <c r="AM65" s="17">
        <v>53654</v>
      </c>
      <c r="AN65" s="17">
        <v>52773</v>
      </c>
      <c r="AO65" s="17">
        <v>52594</v>
      </c>
      <c r="AP65" s="17">
        <v>52472</v>
      </c>
      <c r="AQ65" s="17">
        <v>52500</v>
      </c>
    </row>
    <row r="66" spans="1:43" ht="16" x14ac:dyDescent="0.2">
      <c r="A66" s="17">
        <v>106</v>
      </c>
      <c r="B66" s="17" t="s">
        <v>78</v>
      </c>
      <c r="C66" s="17">
        <v>0.78</v>
      </c>
      <c r="D66" s="17">
        <v>0.05</v>
      </c>
      <c r="E66" s="17">
        <v>0.73</v>
      </c>
      <c r="F66" s="17">
        <v>17.5</v>
      </c>
      <c r="G66" s="17">
        <v>22</v>
      </c>
      <c r="H66" s="17">
        <v>-4.5</v>
      </c>
      <c r="I66" s="17">
        <v>7.06</v>
      </c>
      <c r="J66" s="17">
        <v>68.05</v>
      </c>
      <c r="K66" s="17">
        <v>9.25</v>
      </c>
      <c r="L66" s="17">
        <v>218.9</v>
      </c>
      <c r="M66" s="17">
        <v>14.08</v>
      </c>
      <c r="N66" s="17">
        <v>0.3</v>
      </c>
      <c r="O66" s="17">
        <v>13.78</v>
      </c>
      <c r="P66" s="17">
        <v>0.83</v>
      </c>
      <c r="Q66" s="17">
        <v>1.68</v>
      </c>
      <c r="R66" s="17">
        <v>-0.85</v>
      </c>
      <c r="S66" s="17">
        <v>67.75</v>
      </c>
      <c r="T66" s="17">
        <v>57.4</v>
      </c>
      <c r="U66" s="17">
        <v>10.35</v>
      </c>
      <c r="V66" s="17">
        <v>34.200000000000003</v>
      </c>
      <c r="W66" s="17">
        <v>34.700000000000003</v>
      </c>
      <c r="X66" s="17">
        <v>350.9</v>
      </c>
      <c r="Y66" s="17">
        <v>1448</v>
      </c>
      <c r="Z66" s="17">
        <v>19.989999999999998</v>
      </c>
      <c r="AA66" s="17">
        <v>350.49</v>
      </c>
      <c r="AB66" s="17">
        <v>1397</v>
      </c>
      <c r="AC66" s="17">
        <v>20.88</v>
      </c>
      <c r="AD66" s="17">
        <v>337.39</v>
      </c>
      <c r="AE66" s="17">
        <v>1348</v>
      </c>
      <c r="AF66" s="17">
        <v>26.39</v>
      </c>
      <c r="AG66" s="17">
        <v>826</v>
      </c>
      <c r="AH66" s="17">
        <v>402</v>
      </c>
      <c r="AI66" s="17">
        <v>51.881163239999999</v>
      </c>
      <c r="AJ66" s="17">
        <v>26.117463619999999</v>
      </c>
      <c r="AK66" s="17">
        <v>-25.7637</v>
      </c>
      <c r="AL66" s="17">
        <v>70.62</v>
      </c>
      <c r="AM66" s="17">
        <v>15921</v>
      </c>
      <c r="AN66" s="17">
        <v>15662</v>
      </c>
      <c r="AO66" s="17">
        <v>15599</v>
      </c>
      <c r="AP66" s="17">
        <v>15450</v>
      </c>
      <c r="AQ66" s="17">
        <v>15392</v>
      </c>
    </row>
    <row r="67" spans="1:43" ht="16" x14ac:dyDescent="0.2">
      <c r="A67" s="17">
        <v>1205</v>
      </c>
      <c r="B67" s="17" t="s">
        <v>79</v>
      </c>
      <c r="C67" s="17">
        <v>0.62</v>
      </c>
      <c r="D67" s="17">
        <v>0.56999999999999995</v>
      </c>
      <c r="E67" s="17">
        <v>0.05</v>
      </c>
      <c r="F67" s="17">
        <v>37.1</v>
      </c>
      <c r="G67" s="17">
        <v>18.5</v>
      </c>
      <c r="H67" s="17">
        <v>18.600000000000001</v>
      </c>
      <c r="I67" s="17">
        <v>5.23</v>
      </c>
      <c r="J67" s="17">
        <v>84.11</v>
      </c>
      <c r="K67" s="17">
        <v>16.100000000000001</v>
      </c>
      <c r="L67" s="17">
        <v>353.8</v>
      </c>
      <c r="M67" s="17">
        <v>17.260000000000002</v>
      </c>
      <c r="N67" s="17">
        <v>0.89</v>
      </c>
      <c r="O67" s="17">
        <v>16.37</v>
      </c>
      <c r="P67" s="17">
        <v>3.04</v>
      </c>
      <c r="Q67" s="17">
        <v>5.05</v>
      </c>
      <c r="R67" s="17">
        <v>-2.0099999999999998</v>
      </c>
      <c r="S67" s="17">
        <v>68.48</v>
      </c>
      <c r="T67" s="17">
        <v>61.19</v>
      </c>
      <c r="U67" s="17">
        <v>7.29</v>
      </c>
      <c r="V67" s="17">
        <v>35.700000000000003</v>
      </c>
      <c r="W67" s="17">
        <v>37.299999999999997</v>
      </c>
      <c r="X67" s="17">
        <v>426.7</v>
      </c>
      <c r="Y67" s="17">
        <v>422</v>
      </c>
      <c r="Z67" s="17">
        <v>14.47</v>
      </c>
      <c r="AA67" s="17">
        <v>494.46</v>
      </c>
      <c r="AB67" s="17">
        <v>386</v>
      </c>
      <c r="AC67" s="17">
        <v>17.13</v>
      </c>
      <c r="AD67" s="17">
        <v>496.97</v>
      </c>
      <c r="AE67" s="17">
        <v>383</v>
      </c>
      <c r="AF67" s="17">
        <v>12.81</v>
      </c>
      <c r="AG67" s="17">
        <v>103</v>
      </c>
      <c r="AH67" s="17">
        <v>61</v>
      </c>
      <c r="AI67" s="17">
        <v>31.643625190000002</v>
      </c>
      <c r="AJ67" s="17">
        <v>19.003115260000001</v>
      </c>
      <c r="AK67" s="17">
        <v>-12.640510000000001</v>
      </c>
      <c r="AL67" s="17">
        <v>79.39</v>
      </c>
      <c r="AM67" s="17">
        <v>3255</v>
      </c>
      <c r="AN67" s="17">
        <v>3142</v>
      </c>
      <c r="AO67" s="17">
        <v>3193</v>
      </c>
      <c r="AP67" s="17">
        <v>3202</v>
      </c>
      <c r="AQ67" s="17">
        <v>3210</v>
      </c>
    </row>
    <row r="68" spans="1:43" ht="16" x14ac:dyDescent="0.2">
      <c r="A68" s="17">
        <v>1803</v>
      </c>
      <c r="B68" s="17" t="s">
        <v>80</v>
      </c>
      <c r="C68" s="17">
        <v>0.72</v>
      </c>
      <c r="D68" s="17">
        <v>0.23</v>
      </c>
      <c r="E68" s="17">
        <v>0.49</v>
      </c>
      <c r="F68" s="17">
        <v>18.100000000000001</v>
      </c>
      <c r="G68" s="17">
        <v>17.3</v>
      </c>
      <c r="H68" s="17">
        <v>0.8</v>
      </c>
      <c r="I68" s="17">
        <v>8.5500000000000007</v>
      </c>
      <c r="J68" s="17">
        <v>65.97</v>
      </c>
      <c r="K68" s="17">
        <v>9.59</v>
      </c>
      <c r="L68" s="17">
        <v>377.6</v>
      </c>
      <c r="M68" s="17">
        <v>22.49</v>
      </c>
      <c r="N68" s="17">
        <v>0.67</v>
      </c>
      <c r="O68" s="17">
        <v>21.82</v>
      </c>
      <c r="P68" s="17">
        <v>1.3</v>
      </c>
      <c r="Q68" s="17">
        <v>1.74</v>
      </c>
      <c r="R68" s="17">
        <v>-0.44</v>
      </c>
      <c r="S68" s="17">
        <v>59.01</v>
      </c>
      <c r="T68" s="17">
        <v>47.94</v>
      </c>
      <c r="U68" s="17">
        <v>11.07</v>
      </c>
      <c r="V68" s="17">
        <v>36.200000000000003</v>
      </c>
      <c r="W68" s="17">
        <v>36.6</v>
      </c>
      <c r="X68" s="17">
        <v>454.98</v>
      </c>
      <c r="Y68" s="17">
        <v>1468</v>
      </c>
      <c r="Z68" s="17">
        <v>30.37</v>
      </c>
      <c r="AA68" s="17">
        <v>453.73</v>
      </c>
      <c r="AB68" s="17">
        <v>1431</v>
      </c>
      <c r="AC68" s="17">
        <v>27</v>
      </c>
      <c r="AD68" s="17">
        <v>455.41</v>
      </c>
      <c r="AE68" s="17">
        <v>1407</v>
      </c>
      <c r="AF68" s="17">
        <v>32</v>
      </c>
      <c r="AG68" s="17">
        <v>697</v>
      </c>
      <c r="AH68" s="17">
        <v>387</v>
      </c>
      <c r="AI68" s="17">
        <v>49.053416849999998</v>
      </c>
      <c r="AJ68" s="17">
        <v>28.40992512</v>
      </c>
      <c r="AK68" s="17">
        <v>-20.643491999999998</v>
      </c>
      <c r="AL68" s="17">
        <v>67.819999999999993</v>
      </c>
      <c r="AM68" s="17">
        <v>14209</v>
      </c>
      <c r="AN68" s="17">
        <v>13853</v>
      </c>
      <c r="AO68" s="17">
        <v>13796</v>
      </c>
      <c r="AP68" s="17">
        <v>13683</v>
      </c>
      <c r="AQ68" s="17">
        <v>13622</v>
      </c>
    </row>
    <row r="69" spans="1:43" ht="16" x14ac:dyDescent="0.2">
      <c r="A69" s="17">
        <v>804</v>
      </c>
      <c r="B69" s="17" t="s">
        <v>81</v>
      </c>
      <c r="C69" s="17">
        <v>3.78</v>
      </c>
      <c r="D69" s="17">
        <v>2.0699999999999998</v>
      </c>
      <c r="E69" s="17">
        <v>1.71</v>
      </c>
      <c r="F69" s="17">
        <v>44.3</v>
      </c>
      <c r="G69" s="17">
        <v>27.2</v>
      </c>
      <c r="H69" s="17">
        <v>17.100000000000001</v>
      </c>
      <c r="I69" s="17">
        <v>10.54</v>
      </c>
      <c r="J69" s="17">
        <v>75.77</v>
      </c>
      <c r="K69" s="17">
        <v>13.21</v>
      </c>
      <c r="L69" s="17">
        <v>267</v>
      </c>
      <c r="M69" s="17">
        <v>29.25</v>
      </c>
      <c r="N69" s="17">
        <v>1.78</v>
      </c>
      <c r="O69" s="17">
        <v>27.47</v>
      </c>
      <c r="P69" s="17">
        <v>2.6</v>
      </c>
      <c r="Q69" s="17">
        <v>6.31</v>
      </c>
      <c r="R69" s="17">
        <v>-3.71</v>
      </c>
      <c r="S69" s="17">
        <v>62.01</v>
      </c>
      <c r="T69" s="17">
        <v>46.86</v>
      </c>
      <c r="U69" s="17">
        <v>15.15</v>
      </c>
      <c r="V69" s="17">
        <v>39</v>
      </c>
      <c r="W69" s="17">
        <v>39.299999999999997</v>
      </c>
      <c r="X69" s="17">
        <v>358.86</v>
      </c>
      <c r="Y69" s="17">
        <v>933</v>
      </c>
      <c r="Z69" s="17">
        <v>30.19</v>
      </c>
      <c r="AA69" s="17">
        <v>387.37</v>
      </c>
      <c r="AB69" s="17">
        <v>840</v>
      </c>
      <c r="AC69" s="17">
        <v>32.46</v>
      </c>
      <c r="AD69" s="17">
        <v>387.67</v>
      </c>
      <c r="AE69" s="17">
        <v>808</v>
      </c>
      <c r="AF69" s="17">
        <v>26.64</v>
      </c>
      <c r="AG69" s="17">
        <v>306</v>
      </c>
      <c r="AH69" s="17">
        <v>253</v>
      </c>
      <c r="AI69" s="17">
        <v>47.368421050000002</v>
      </c>
      <c r="AJ69" s="17">
        <v>37.704918030000002</v>
      </c>
      <c r="AK69" s="17">
        <v>-9.6635030000000004</v>
      </c>
      <c r="AL69" s="17">
        <v>81.16</v>
      </c>
      <c r="AM69" s="17">
        <v>6460</v>
      </c>
      <c r="AN69" s="17">
        <v>6434</v>
      </c>
      <c r="AO69" s="17">
        <v>6491</v>
      </c>
      <c r="AP69" s="17">
        <v>6578</v>
      </c>
      <c r="AQ69" s="17">
        <v>6710</v>
      </c>
    </row>
    <row r="70" spans="1:43" ht="16" x14ac:dyDescent="0.2">
      <c r="A70" s="17">
        <v>206</v>
      </c>
      <c r="B70" s="17" t="s">
        <v>82</v>
      </c>
      <c r="C70" s="17">
        <v>1.47</v>
      </c>
      <c r="D70" s="17">
        <v>0.44</v>
      </c>
      <c r="E70" s="17">
        <v>1.03</v>
      </c>
      <c r="F70" s="17">
        <v>32.5</v>
      </c>
      <c r="G70" s="17">
        <v>19.899999999999999</v>
      </c>
      <c r="H70" s="17">
        <v>12.6</v>
      </c>
      <c r="I70" s="17">
        <v>6.03</v>
      </c>
      <c r="J70" s="17">
        <v>105.45</v>
      </c>
      <c r="K70" s="17">
        <v>15.83</v>
      </c>
      <c r="L70" s="17">
        <v>217.4</v>
      </c>
      <c r="M70" s="17">
        <v>18.649999999999999</v>
      </c>
      <c r="N70" s="17">
        <v>0.95</v>
      </c>
      <c r="O70" s="17">
        <v>17.7</v>
      </c>
      <c r="P70" s="17">
        <v>17.13</v>
      </c>
      <c r="Q70" s="17">
        <v>24.95</v>
      </c>
      <c r="R70" s="17">
        <v>-7.82</v>
      </c>
      <c r="S70" s="17">
        <v>66.63</v>
      </c>
      <c r="T70" s="17">
        <v>54.7</v>
      </c>
      <c r="U70" s="17">
        <v>11.93</v>
      </c>
      <c r="V70" s="17">
        <v>38.200000000000003</v>
      </c>
      <c r="W70" s="17">
        <v>39.6</v>
      </c>
      <c r="X70" s="17">
        <v>403.73</v>
      </c>
      <c r="Y70" s="17">
        <v>819</v>
      </c>
      <c r="Z70" s="17">
        <v>20.98</v>
      </c>
      <c r="AA70" s="17">
        <v>400.46</v>
      </c>
      <c r="AB70" s="17">
        <v>802</v>
      </c>
      <c r="AC70" s="17">
        <v>20.45</v>
      </c>
      <c r="AD70" s="17">
        <v>399.09</v>
      </c>
      <c r="AE70" s="17">
        <v>770</v>
      </c>
      <c r="AF70" s="17">
        <v>21.87</v>
      </c>
      <c r="AG70" s="17">
        <v>295</v>
      </c>
      <c r="AH70" s="17">
        <v>176</v>
      </c>
      <c r="AI70" s="17">
        <v>41.549295770000001</v>
      </c>
      <c r="AJ70" s="17">
        <v>25.29826074</v>
      </c>
      <c r="AK70" s="17">
        <v>-16.251035000000002</v>
      </c>
      <c r="AL70" s="17">
        <v>103.48</v>
      </c>
      <c r="AM70" s="17">
        <v>7100</v>
      </c>
      <c r="AN70" s="17">
        <v>6997</v>
      </c>
      <c r="AO70" s="17">
        <v>6917</v>
      </c>
      <c r="AP70" s="17">
        <v>6934</v>
      </c>
      <c r="AQ70" s="17">
        <v>6957</v>
      </c>
    </row>
    <row r="71" spans="1:43" ht="16" x14ac:dyDescent="0.2">
      <c r="A71" s="17">
        <v>903</v>
      </c>
      <c r="B71" s="17" t="s">
        <v>83</v>
      </c>
      <c r="C71" s="17">
        <v>0.96</v>
      </c>
      <c r="D71" s="17">
        <v>0.36</v>
      </c>
      <c r="E71" s="17">
        <v>0.6</v>
      </c>
      <c r="F71" s="17">
        <v>25.8</v>
      </c>
      <c r="G71" s="17">
        <v>29.6</v>
      </c>
      <c r="H71" s="17">
        <v>-3.8</v>
      </c>
      <c r="I71" s="17">
        <v>7.55</v>
      </c>
      <c r="J71" s="17">
        <v>66.91</v>
      </c>
      <c r="K71" s="17">
        <v>10.4</v>
      </c>
      <c r="L71" s="17">
        <v>402.2</v>
      </c>
      <c r="M71" s="17">
        <v>20.25</v>
      </c>
      <c r="N71" s="17">
        <v>1.2</v>
      </c>
      <c r="O71" s="17">
        <v>19.05</v>
      </c>
      <c r="P71" s="17">
        <v>1.01</v>
      </c>
      <c r="Q71" s="17">
        <v>2.17</v>
      </c>
      <c r="R71" s="17">
        <v>-1.1599999999999999</v>
      </c>
      <c r="S71" s="17">
        <v>55.8</v>
      </c>
      <c r="T71" s="17">
        <v>46.88</v>
      </c>
      <c r="U71" s="17">
        <v>8.92</v>
      </c>
      <c r="V71" s="17">
        <v>35.9</v>
      </c>
      <c r="W71" s="17">
        <v>36.4</v>
      </c>
      <c r="X71" s="17">
        <v>403.55</v>
      </c>
      <c r="Y71" s="17">
        <v>663</v>
      </c>
      <c r="Z71" s="17">
        <v>28.84</v>
      </c>
      <c r="AA71" s="17">
        <v>378.7</v>
      </c>
      <c r="AB71" s="17">
        <v>653</v>
      </c>
      <c r="AC71" s="17">
        <v>26.95</v>
      </c>
      <c r="AD71" s="17">
        <v>385.84</v>
      </c>
      <c r="AE71" s="17">
        <v>661</v>
      </c>
      <c r="AF71" s="17">
        <v>27.42</v>
      </c>
      <c r="AG71" s="17">
        <v>236</v>
      </c>
      <c r="AH71" s="17">
        <v>167</v>
      </c>
      <c r="AI71" s="17">
        <v>33.986175119999999</v>
      </c>
      <c r="AJ71" s="17">
        <v>25.542979500000001</v>
      </c>
      <c r="AK71" s="17">
        <v>-8.4431955999999992</v>
      </c>
      <c r="AL71" s="17">
        <v>71.13</v>
      </c>
      <c r="AM71" s="17">
        <v>6944</v>
      </c>
      <c r="AN71" s="17">
        <v>6660</v>
      </c>
      <c r="AO71" s="17">
        <v>6626</v>
      </c>
      <c r="AP71" s="17">
        <v>6565</v>
      </c>
      <c r="AQ71" s="17">
        <v>6538</v>
      </c>
    </row>
    <row r="72" spans="1:43" ht="16" x14ac:dyDescent="0.2">
      <c r="A72" s="17">
        <v>305</v>
      </c>
      <c r="B72" s="17" t="s">
        <v>84</v>
      </c>
      <c r="C72" s="17">
        <v>0.27</v>
      </c>
      <c r="D72" s="17">
        <v>0.05</v>
      </c>
      <c r="E72" s="17">
        <v>0.22</v>
      </c>
      <c r="F72" s="17">
        <v>18.600000000000001</v>
      </c>
      <c r="G72" s="17">
        <v>19.8</v>
      </c>
      <c r="H72" s="17">
        <v>-1.2</v>
      </c>
      <c r="I72" s="17">
        <v>7.17</v>
      </c>
      <c r="J72" s="17">
        <v>57.47</v>
      </c>
      <c r="K72" s="17">
        <v>10.220000000000001</v>
      </c>
      <c r="L72" s="17">
        <v>239.7</v>
      </c>
      <c r="M72" s="17">
        <v>14.81</v>
      </c>
      <c r="N72" s="17">
        <v>0.71</v>
      </c>
      <c r="O72" s="17">
        <v>14.1</v>
      </c>
      <c r="P72" s="17">
        <v>0.91</v>
      </c>
      <c r="Q72" s="17">
        <v>1.92</v>
      </c>
      <c r="R72" s="17">
        <v>-1.01</v>
      </c>
      <c r="S72" s="17">
        <v>62.16</v>
      </c>
      <c r="T72" s="17">
        <v>53.33</v>
      </c>
      <c r="U72" s="17">
        <v>8.83</v>
      </c>
      <c r="V72" s="17">
        <v>36.299999999999997</v>
      </c>
      <c r="W72" s="17">
        <v>36.799999999999997</v>
      </c>
      <c r="X72" s="17">
        <v>342.48</v>
      </c>
      <c r="Y72" s="17">
        <v>1785</v>
      </c>
      <c r="Z72" s="17">
        <v>27.07</v>
      </c>
      <c r="AA72" s="17">
        <v>314.81</v>
      </c>
      <c r="AB72" s="17">
        <v>1712</v>
      </c>
      <c r="AC72" s="17">
        <v>27.03</v>
      </c>
      <c r="AD72" s="17">
        <v>311.89</v>
      </c>
      <c r="AE72" s="17">
        <v>1702</v>
      </c>
      <c r="AF72" s="17">
        <v>32.880000000000003</v>
      </c>
      <c r="AG72" s="17">
        <v>591</v>
      </c>
      <c r="AH72" s="17">
        <v>386</v>
      </c>
      <c r="AI72" s="17">
        <v>32.165015779999997</v>
      </c>
      <c r="AJ72" s="17">
        <v>21.963015649999999</v>
      </c>
      <c r="AK72" s="17">
        <v>-10.202</v>
      </c>
      <c r="AL72" s="17">
        <v>63.27</v>
      </c>
      <c r="AM72" s="17">
        <v>18374</v>
      </c>
      <c r="AN72" s="17">
        <v>17716</v>
      </c>
      <c r="AO72" s="17">
        <v>17755</v>
      </c>
      <c r="AP72" s="17">
        <v>17632</v>
      </c>
      <c r="AQ72" s="17">
        <v>17575</v>
      </c>
    </row>
    <row r="73" spans="1:43" ht="16" x14ac:dyDescent="0.2">
      <c r="A73" s="17">
        <v>1407</v>
      </c>
      <c r="B73" s="17" t="s">
        <v>85</v>
      </c>
      <c r="C73" s="17">
        <v>0.76</v>
      </c>
      <c r="D73" s="17">
        <v>0.12</v>
      </c>
      <c r="E73" s="17">
        <v>0.64</v>
      </c>
      <c r="F73" s="17">
        <v>29.1</v>
      </c>
      <c r="G73" s="17">
        <v>26.2</v>
      </c>
      <c r="H73" s="17">
        <v>2.9</v>
      </c>
      <c r="I73" s="17">
        <v>5.84</v>
      </c>
      <c r="J73" s="17">
        <v>71.77</v>
      </c>
      <c r="K73" s="17">
        <v>9.8699999999999992</v>
      </c>
      <c r="L73" s="17">
        <v>295.5</v>
      </c>
      <c r="M73" s="17">
        <v>23.65</v>
      </c>
      <c r="N73" s="17">
        <v>1.47</v>
      </c>
      <c r="O73" s="17">
        <v>22.18</v>
      </c>
      <c r="P73" s="17">
        <v>8.42</v>
      </c>
      <c r="Q73" s="17">
        <v>14.08</v>
      </c>
      <c r="R73" s="17">
        <v>-5.66</v>
      </c>
      <c r="S73" s="17">
        <v>64.73</v>
      </c>
      <c r="T73" s="17">
        <v>55.22</v>
      </c>
      <c r="U73" s="17">
        <v>9.51</v>
      </c>
      <c r="V73" s="17">
        <v>33.700000000000003</v>
      </c>
      <c r="W73" s="17">
        <v>33.799999999999997</v>
      </c>
      <c r="X73" s="17">
        <v>496.66</v>
      </c>
      <c r="Y73" s="17">
        <v>915</v>
      </c>
      <c r="Z73" s="17">
        <v>20.56</v>
      </c>
      <c r="AA73" s="17">
        <v>469.55</v>
      </c>
      <c r="AB73" s="17">
        <v>869</v>
      </c>
      <c r="AC73" s="17">
        <v>15.65</v>
      </c>
      <c r="AD73" s="17">
        <v>474.75</v>
      </c>
      <c r="AE73" s="17">
        <v>885</v>
      </c>
      <c r="AF73" s="17">
        <v>18.77</v>
      </c>
      <c r="AG73" s="17">
        <v>474</v>
      </c>
      <c r="AH73" s="17">
        <v>262</v>
      </c>
      <c r="AI73" s="17">
        <v>52.514956789999999</v>
      </c>
      <c r="AJ73" s="17">
        <v>30.607476640000002</v>
      </c>
      <c r="AK73" s="17">
        <v>-21.90748</v>
      </c>
      <c r="AL73" s="17">
        <v>74.540000000000006</v>
      </c>
      <c r="AM73" s="17">
        <v>9026</v>
      </c>
      <c r="AN73" s="17">
        <v>8626</v>
      </c>
      <c r="AO73" s="17">
        <v>8567</v>
      </c>
      <c r="AP73" s="17">
        <v>8542</v>
      </c>
      <c r="AQ73" s="17">
        <v>8560</v>
      </c>
    </row>
    <row r="74" spans="1:43" ht="16" x14ac:dyDescent="0.2">
      <c r="A74" s="17">
        <v>1703</v>
      </c>
      <c r="B74" s="17" t="s">
        <v>86</v>
      </c>
      <c r="C74" s="17">
        <v>1.43</v>
      </c>
      <c r="D74" s="17">
        <v>0.4</v>
      </c>
      <c r="E74" s="17">
        <v>1.03</v>
      </c>
      <c r="F74" s="17">
        <v>29.8</v>
      </c>
      <c r="G74" s="17">
        <v>27.5</v>
      </c>
      <c r="H74" s="17">
        <v>2.2999999999999998</v>
      </c>
      <c r="I74" s="17">
        <v>8.4600000000000009</v>
      </c>
      <c r="J74" s="17">
        <v>79.08</v>
      </c>
      <c r="K74" s="17">
        <v>16.420000000000002</v>
      </c>
      <c r="L74" s="17">
        <v>361.8</v>
      </c>
      <c r="M74" s="17">
        <v>20.8</v>
      </c>
      <c r="N74" s="17">
        <v>0.8</v>
      </c>
      <c r="O74" s="17">
        <v>20</v>
      </c>
      <c r="P74" s="17">
        <v>1.41</v>
      </c>
      <c r="Q74" s="17">
        <v>3.14</v>
      </c>
      <c r="R74" s="17">
        <v>-1.73</v>
      </c>
      <c r="S74" s="17">
        <v>53.51</v>
      </c>
      <c r="T74" s="17">
        <v>42.9</v>
      </c>
      <c r="U74" s="17">
        <v>10.61</v>
      </c>
      <c r="V74" s="17">
        <v>40</v>
      </c>
      <c r="W74" s="17">
        <v>41.4</v>
      </c>
      <c r="X74" s="17">
        <v>341.34</v>
      </c>
      <c r="Y74" s="17">
        <v>4929</v>
      </c>
      <c r="Z74" s="17">
        <v>37.26</v>
      </c>
      <c r="AA74" s="17">
        <v>324.76</v>
      </c>
      <c r="AB74" s="17">
        <v>4788</v>
      </c>
      <c r="AC74" s="17">
        <v>32.92</v>
      </c>
      <c r="AD74" s="17">
        <v>323.73</v>
      </c>
      <c r="AE74" s="17">
        <v>4868</v>
      </c>
      <c r="AF74" s="17">
        <v>32.46</v>
      </c>
      <c r="AG74" s="17">
        <v>1363</v>
      </c>
      <c r="AH74" s="17">
        <v>820</v>
      </c>
      <c r="AI74" s="17">
        <v>35.319115859999997</v>
      </c>
      <c r="AJ74" s="17">
        <v>21.968600980000001</v>
      </c>
      <c r="AK74" s="17">
        <v>-13.350515</v>
      </c>
      <c r="AL74" s="17">
        <v>82.47</v>
      </c>
      <c r="AM74" s="17">
        <v>38591</v>
      </c>
      <c r="AN74" s="17">
        <v>37778</v>
      </c>
      <c r="AO74" s="17">
        <v>37740</v>
      </c>
      <c r="AP74" s="17">
        <v>37426</v>
      </c>
      <c r="AQ74" s="17">
        <v>37326</v>
      </c>
    </row>
    <row r="75" spans="1:43" ht="16" x14ac:dyDescent="0.2">
      <c r="A75" s="17">
        <v>1804</v>
      </c>
      <c r="B75" s="17" t="s">
        <v>87</v>
      </c>
      <c r="C75" s="17">
        <v>0.69</v>
      </c>
      <c r="D75" s="17">
        <v>0.12</v>
      </c>
      <c r="E75" s="17">
        <v>0.56999999999999995</v>
      </c>
      <c r="F75" s="17">
        <v>19.5</v>
      </c>
      <c r="G75" s="17">
        <v>24</v>
      </c>
      <c r="H75" s="17">
        <v>-4.5</v>
      </c>
      <c r="I75" s="17">
        <v>9.9</v>
      </c>
      <c r="J75" s="17">
        <v>59.43</v>
      </c>
      <c r="K75" s="17">
        <v>7.11</v>
      </c>
      <c r="L75" s="17">
        <v>256.7</v>
      </c>
      <c r="M75" s="17">
        <v>16.11</v>
      </c>
      <c r="N75" s="17">
        <v>0.68</v>
      </c>
      <c r="O75" s="17">
        <v>15.43</v>
      </c>
      <c r="P75" s="17">
        <v>1.1100000000000001</v>
      </c>
      <c r="Q75" s="17">
        <v>1.66</v>
      </c>
      <c r="R75" s="17">
        <v>-0.55000000000000004</v>
      </c>
      <c r="S75" s="17">
        <v>59.94</v>
      </c>
      <c r="T75" s="17">
        <v>48.79</v>
      </c>
      <c r="U75" s="17">
        <v>11.15</v>
      </c>
      <c r="V75" s="17">
        <v>37</v>
      </c>
      <c r="W75" s="17">
        <v>38.700000000000003</v>
      </c>
      <c r="X75" s="17">
        <v>384.02</v>
      </c>
      <c r="Y75" s="17">
        <v>1800</v>
      </c>
      <c r="Z75" s="17">
        <v>43.31</v>
      </c>
      <c r="AA75" s="17">
        <v>373.88</v>
      </c>
      <c r="AB75" s="17">
        <v>1774</v>
      </c>
      <c r="AC75" s="17">
        <v>44.83</v>
      </c>
      <c r="AD75" s="17">
        <v>377.32</v>
      </c>
      <c r="AE75" s="17">
        <v>1724</v>
      </c>
      <c r="AF75" s="17">
        <v>52.63</v>
      </c>
      <c r="AG75" s="17">
        <v>1329</v>
      </c>
      <c r="AH75" s="17">
        <v>566</v>
      </c>
      <c r="AI75" s="17">
        <v>71.096132240000003</v>
      </c>
      <c r="AJ75" s="17">
        <v>32.232346239999998</v>
      </c>
      <c r="AK75" s="17">
        <v>-38.863785999999998</v>
      </c>
      <c r="AL75" s="17">
        <v>64.13</v>
      </c>
      <c r="AM75" s="17">
        <v>18693</v>
      </c>
      <c r="AN75" s="17">
        <v>17977</v>
      </c>
      <c r="AO75" s="17">
        <v>17838</v>
      </c>
      <c r="AP75" s="17">
        <v>17700</v>
      </c>
      <c r="AQ75" s="17">
        <v>17560</v>
      </c>
    </row>
    <row r="76" spans="1:43" ht="16" x14ac:dyDescent="0.2">
      <c r="A76" s="17">
        <v>603</v>
      </c>
      <c r="B76" s="17" t="s">
        <v>88</v>
      </c>
      <c r="C76" s="17">
        <v>4.0999999999999996</v>
      </c>
      <c r="D76" s="17">
        <v>1.87</v>
      </c>
      <c r="E76" s="17">
        <v>2.23</v>
      </c>
      <c r="F76" s="17">
        <v>27.3</v>
      </c>
      <c r="G76" s="17">
        <v>25.7</v>
      </c>
      <c r="H76" s="17">
        <v>1.6</v>
      </c>
      <c r="I76" s="17">
        <v>6.26</v>
      </c>
      <c r="J76" s="17">
        <v>126.28</v>
      </c>
      <c r="K76" s="17">
        <v>36.33</v>
      </c>
      <c r="L76" s="17">
        <v>224</v>
      </c>
      <c r="M76" s="17">
        <v>11.35</v>
      </c>
      <c r="N76" s="17">
        <v>0.81</v>
      </c>
      <c r="O76" s="17">
        <v>10.54</v>
      </c>
      <c r="P76" s="17">
        <v>3.69</v>
      </c>
      <c r="Q76" s="17">
        <v>7.66</v>
      </c>
      <c r="R76" s="17">
        <v>-3.97</v>
      </c>
      <c r="S76" s="17">
        <v>68.25</v>
      </c>
      <c r="T76" s="17">
        <v>57.34</v>
      </c>
      <c r="U76" s="17">
        <v>10.91</v>
      </c>
      <c r="V76" s="17">
        <v>42.1</v>
      </c>
      <c r="W76" s="17">
        <v>42.1</v>
      </c>
      <c r="X76" s="17">
        <v>313.91000000000003</v>
      </c>
      <c r="Y76" s="17">
        <v>21754</v>
      </c>
      <c r="Z76" s="17">
        <v>27.32</v>
      </c>
      <c r="AA76" s="17">
        <v>336.38</v>
      </c>
      <c r="AB76" s="17">
        <v>20444</v>
      </c>
      <c r="AC76" s="17">
        <v>26.72</v>
      </c>
      <c r="AD76" s="17">
        <v>340.62</v>
      </c>
      <c r="AE76" s="17">
        <v>20033</v>
      </c>
      <c r="AF76" s="17">
        <v>27.02</v>
      </c>
      <c r="AG76" s="17">
        <v>5309</v>
      </c>
      <c r="AH76" s="17">
        <v>3600</v>
      </c>
      <c r="AI76" s="17">
        <v>37.375216479999999</v>
      </c>
      <c r="AJ76" s="17">
        <v>25.207789210000001</v>
      </c>
      <c r="AK76" s="17">
        <v>-12.167427</v>
      </c>
      <c r="AL76" s="17">
        <v>119.76</v>
      </c>
      <c r="AM76" s="17">
        <v>142046</v>
      </c>
      <c r="AN76" s="17">
        <v>142881</v>
      </c>
      <c r="AO76" s="17">
        <v>141564</v>
      </c>
      <c r="AP76" s="17">
        <v>141889</v>
      </c>
      <c r="AQ76" s="17">
        <v>142813</v>
      </c>
    </row>
    <row r="77" spans="1:43" ht="16" x14ac:dyDescent="0.2">
      <c r="A77" s="17">
        <v>604</v>
      </c>
      <c r="B77" s="17" t="s">
        <v>89</v>
      </c>
      <c r="C77" s="17">
        <v>1.08</v>
      </c>
      <c r="D77" s="17">
        <v>0.3</v>
      </c>
      <c r="E77" s="17">
        <v>0.78</v>
      </c>
      <c r="F77" s="17">
        <v>11.8</v>
      </c>
      <c r="G77" s="17">
        <v>16.899999999999999</v>
      </c>
      <c r="H77" s="17">
        <v>-5.0999999999999996</v>
      </c>
      <c r="I77" s="17">
        <v>4.47</v>
      </c>
      <c r="J77" s="17">
        <v>78.989999999999995</v>
      </c>
      <c r="K77" s="17">
        <v>25.5</v>
      </c>
      <c r="L77" s="17">
        <v>174.9</v>
      </c>
      <c r="M77" s="17">
        <v>16.23</v>
      </c>
      <c r="N77" s="17">
        <v>1.58</v>
      </c>
      <c r="O77" s="17">
        <v>14.65</v>
      </c>
      <c r="P77" s="17">
        <v>3.02</v>
      </c>
      <c r="Q77" s="17">
        <v>6.05</v>
      </c>
      <c r="R77" s="17">
        <v>-3.03</v>
      </c>
      <c r="S77" s="17">
        <v>69.63</v>
      </c>
      <c r="T77" s="17">
        <v>56.47</v>
      </c>
      <c r="U77" s="17">
        <v>13.16</v>
      </c>
      <c r="V77" s="17">
        <v>37.700000000000003</v>
      </c>
      <c r="W77" s="17">
        <v>38.299999999999997</v>
      </c>
      <c r="X77" s="17">
        <v>302.18</v>
      </c>
      <c r="Y77" s="17">
        <v>1884</v>
      </c>
      <c r="Z77" s="17">
        <v>10.16</v>
      </c>
      <c r="AA77" s="17">
        <v>292.92</v>
      </c>
      <c r="AB77" s="17">
        <v>1779</v>
      </c>
      <c r="AC77" s="17">
        <v>11.19</v>
      </c>
      <c r="AD77" s="17">
        <v>300.27999999999997</v>
      </c>
      <c r="AE77" s="17">
        <v>1863</v>
      </c>
      <c r="AF77" s="17">
        <v>11.07</v>
      </c>
      <c r="AG77" s="17">
        <v>619</v>
      </c>
      <c r="AH77" s="17">
        <v>418</v>
      </c>
      <c r="AI77" s="17">
        <v>36.781745800000003</v>
      </c>
      <c r="AJ77" s="17">
        <v>24.296675189999998</v>
      </c>
      <c r="AK77" s="17">
        <v>-12.485071</v>
      </c>
      <c r="AL77" s="17">
        <v>84.1</v>
      </c>
      <c r="AM77" s="17">
        <v>16829</v>
      </c>
      <c r="AN77" s="17">
        <v>16775</v>
      </c>
      <c r="AO77" s="17">
        <v>16816</v>
      </c>
      <c r="AP77" s="17">
        <v>16994</v>
      </c>
      <c r="AQ77" s="17">
        <v>17204</v>
      </c>
    </row>
    <row r="78" spans="1:43" ht="16" x14ac:dyDescent="0.2">
      <c r="A78" s="17">
        <v>1408</v>
      </c>
      <c r="B78" s="17" t="s">
        <v>90</v>
      </c>
      <c r="C78" s="17">
        <v>0.66</v>
      </c>
      <c r="D78" s="17">
        <v>0.16</v>
      </c>
      <c r="E78" s="17">
        <v>0.5</v>
      </c>
      <c r="F78" s="17">
        <v>22.1</v>
      </c>
      <c r="G78" s="17">
        <v>19.7</v>
      </c>
      <c r="H78" s="17">
        <v>2.4</v>
      </c>
      <c r="I78" s="17">
        <v>5.23</v>
      </c>
      <c r="J78" s="17">
        <v>81.599999999999994</v>
      </c>
      <c r="K78" s="17">
        <v>15.26</v>
      </c>
      <c r="L78" s="17">
        <v>202.9</v>
      </c>
      <c r="M78" s="17">
        <v>27.76</v>
      </c>
      <c r="N78" s="17">
        <v>3.31</v>
      </c>
      <c r="O78" s="17">
        <v>24.45</v>
      </c>
      <c r="P78" s="17">
        <v>7.19</v>
      </c>
      <c r="Q78" s="17">
        <v>11.2</v>
      </c>
      <c r="R78" s="17">
        <v>-4.01</v>
      </c>
      <c r="S78" s="17">
        <v>71.59</v>
      </c>
      <c r="T78" s="17">
        <v>60.83</v>
      </c>
      <c r="U78" s="17">
        <v>10.76</v>
      </c>
      <c r="V78" s="17">
        <v>35.6</v>
      </c>
      <c r="W78" s="17">
        <v>36.299999999999997</v>
      </c>
      <c r="X78" s="17">
        <v>338.63</v>
      </c>
      <c r="Y78" s="17">
        <v>328</v>
      </c>
      <c r="Z78" s="17">
        <v>28.19</v>
      </c>
      <c r="AA78" s="17">
        <v>318.69</v>
      </c>
      <c r="AB78" s="17">
        <v>305</v>
      </c>
      <c r="AC78" s="17">
        <v>29.72</v>
      </c>
      <c r="AD78" s="17">
        <v>324.42</v>
      </c>
      <c r="AE78" s="17">
        <v>288</v>
      </c>
      <c r="AF78" s="17">
        <v>27.22</v>
      </c>
      <c r="AG78" s="17">
        <v>207</v>
      </c>
      <c r="AH78" s="17">
        <v>97</v>
      </c>
      <c r="AI78" s="17">
        <v>53.186022610000002</v>
      </c>
      <c r="AJ78" s="17">
        <v>25.01934485</v>
      </c>
      <c r="AK78" s="17">
        <v>-28.166678000000001</v>
      </c>
      <c r="AL78" s="17">
        <v>84.96</v>
      </c>
      <c r="AM78" s="17">
        <v>3892</v>
      </c>
      <c r="AN78" s="17">
        <v>3816</v>
      </c>
      <c r="AO78" s="17">
        <v>3789</v>
      </c>
      <c r="AP78" s="17">
        <v>3822</v>
      </c>
      <c r="AQ78" s="17">
        <v>3877</v>
      </c>
    </row>
    <row r="79" spans="1:43" ht="16" x14ac:dyDescent="0.2">
      <c r="A79" s="17">
        <v>1409</v>
      </c>
      <c r="B79" s="17" t="s">
        <v>91</v>
      </c>
      <c r="C79" s="17">
        <v>0.55000000000000004</v>
      </c>
      <c r="D79" s="17">
        <v>0.17</v>
      </c>
      <c r="E79" s="17">
        <v>0.38</v>
      </c>
      <c r="F79" s="17">
        <v>36.6</v>
      </c>
      <c r="G79" s="17">
        <v>30.2</v>
      </c>
      <c r="H79" s="17">
        <v>6.4</v>
      </c>
      <c r="I79" s="17">
        <v>6.87</v>
      </c>
      <c r="J79" s="17">
        <v>77.239999999999995</v>
      </c>
      <c r="K79" s="17">
        <v>11.58</v>
      </c>
      <c r="L79" s="17">
        <v>305</v>
      </c>
      <c r="M79" s="17">
        <v>23.16</v>
      </c>
      <c r="N79" s="17">
        <v>1.42</v>
      </c>
      <c r="O79" s="17">
        <v>21.74</v>
      </c>
      <c r="P79" s="17">
        <v>9.8000000000000007</v>
      </c>
      <c r="Q79" s="17">
        <v>16.71</v>
      </c>
      <c r="R79" s="17">
        <v>-6.91</v>
      </c>
      <c r="S79" s="17">
        <v>63.91</v>
      </c>
      <c r="T79" s="17">
        <v>52.61</v>
      </c>
      <c r="U79" s="17">
        <v>11.3</v>
      </c>
      <c r="V79" s="17">
        <v>36</v>
      </c>
      <c r="W79" s="17">
        <v>35.9</v>
      </c>
      <c r="X79" s="17">
        <v>529.95000000000005</v>
      </c>
      <c r="Y79" s="17">
        <v>1918</v>
      </c>
      <c r="Z79" s="17">
        <v>33.04</v>
      </c>
      <c r="AA79" s="17">
        <v>532.69000000000005</v>
      </c>
      <c r="AB79" s="17">
        <v>1878</v>
      </c>
      <c r="AC79" s="17">
        <v>34.090000000000003</v>
      </c>
      <c r="AD79" s="17">
        <v>533.24</v>
      </c>
      <c r="AE79" s="17">
        <v>1880</v>
      </c>
      <c r="AF79" s="17">
        <v>35.06</v>
      </c>
      <c r="AG79" s="17">
        <v>1099</v>
      </c>
      <c r="AH79" s="17">
        <v>616</v>
      </c>
      <c r="AI79" s="17">
        <v>60.061208880000002</v>
      </c>
      <c r="AJ79" s="17">
        <v>35.457318829999998</v>
      </c>
      <c r="AK79" s="17">
        <v>-24.60389</v>
      </c>
      <c r="AL79" s="17">
        <v>78.02</v>
      </c>
      <c r="AM79" s="17">
        <v>18298</v>
      </c>
      <c r="AN79" s="17">
        <v>17611</v>
      </c>
      <c r="AO79" s="17">
        <v>17502</v>
      </c>
      <c r="AP79" s="17">
        <v>17452</v>
      </c>
      <c r="AQ79" s="17">
        <v>17373</v>
      </c>
    </row>
    <row r="80" spans="1:43" ht="16" x14ac:dyDescent="0.2">
      <c r="A80" s="17">
        <v>503</v>
      </c>
      <c r="B80" s="17" t="s">
        <v>92</v>
      </c>
      <c r="C80" s="17">
        <v>2.89</v>
      </c>
      <c r="D80" s="17">
        <v>1.35</v>
      </c>
      <c r="E80" s="17">
        <v>1.54</v>
      </c>
      <c r="F80" s="17">
        <v>32.9</v>
      </c>
      <c r="G80" s="17">
        <v>29</v>
      </c>
      <c r="H80" s="17">
        <v>3.9</v>
      </c>
      <c r="I80" s="17">
        <v>7.69</v>
      </c>
      <c r="J80" s="17">
        <v>86.63</v>
      </c>
      <c r="K80" s="17">
        <v>19.89</v>
      </c>
      <c r="L80" s="17">
        <v>301.8</v>
      </c>
      <c r="M80" s="17">
        <v>14.15</v>
      </c>
      <c r="N80" s="17">
        <v>0.82</v>
      </c>
      <c r="O80" s="17">
        <v>13.33</v>
      </c>
      <c r="P80" s="17">
        <v>3.58</v>
      </c>
      <c r="Q80" s="17">
        <v>7.65</v>
      </c>
      <c r="R80" s="17">
        <v>-4.07</v>
      </c>
      <c r="S80" s="17">
        <v>66.94</v>
      </c>
      <c r="T80" s="17">
        <v>55.88</v>
      </c>
      <c r="U80" s="17">
        <v>11.06</v>
      </c>
      <c r="V80" s="17">
        <v>37.700000000000003</v>
      </c>
      <c r="W80" s="17">
        <v>38.200000000000003</v>
      </c>
      <c r="X80" s="17">
        <v>462.25</v>
      </c>
      <c r="Y80" s="17">
        <v>5092</v>
      </c>
      <c r="Z80" s="17">
        <v>27.39</v>
      </c>
      <c r="AA80" s="17">
        <v>460.05</v>
      </c>
      <c r="AB80" s="17">
        <v>4755</v>
      </c>
      <c r="AC80" s="17">
        <v>28.51</v>
      </c>
      <c r="AD80" s="17">
        <v>462.26</v>
      </c>
      <c r="AE80" s="17">
        <v>4546</v>
      </c>
      <c r="AF80" s="17">
        <v>33.549999999999997</v>
      </c>
      <c r="AG80" s="17">
        <v>2083</v>
      </c>
      <c r="AH80" s="17">
        <v>1202</v>
      </c>
      <c r="AI80" s="17">
        <v>43.159356029999998</v>
      </c>
      <c r="AJ80" s="17">
        <v>26.08450337</v>
      </c>
      <c r="AK80" s="17">
        <v>-17.074853000000001</v>
      </c>
      <c r="AL80" s="17">
        <v>86.9</v>
      </c>
      <c r="AM80" s="17">
        <v>48263</v>
      </c>
      <c r="AN80" s="17">
        <v>47115</v>
      </c>
      <c r="AO80" s="17">
        <v>46710</v>
      </c>
      <c r="AP80" s="17">
        <v>46385</v>
      </c>
      <c r="AQ80" s="17">
        <v>46081</v>
      </c>
    </row>
    <row r="81" spans="1:43" ht="16" x14ac:dyDescent="0.2">
      <c r="A81" s="17">
        <v>1206</v>
      </c>
      <c r="B81" s="17" t="s">
        <v>93</v>
      </c>
      <c r="C81" s="17">
        <v>0.67</v>
      </c>
      <c r="D81" s="17">
        <v>0.09</v>
      </c>
      <c r="E81" s="17">
        <v>0.57999999999999996</v>
      </c>
      <c r="F81" s="17">
        <v>31.7</v>
      </c>
      <c r="G81" s="17">
        <v>29.6</v>
      </c>
      <c r="H81" s="17">
        <v>2.1</v>
      </c>
      <c r="I81" s="17">
        <v>7.44</v>
      </c>
      <c r="J81" s="17">
        <v>74.22</v>
      </c>
      <c r="K81" s="17">
        <v>10.49</v>
      </c>
      <c r="L81" s="17">
        <v>389.7</v>
      </c>
      <c r="M81" s="17">
        <v>22.32</v>
      </c>
      <c r="N81" s="17">
        <v>1.27</v>
      </c>
      <c r="O81" s="17">
        <v>21.05</v>
      </c>
      <c r="P81" s="17">
        <v>5.92</v>
      </c>
      <c r="Q81" s="17">
        <v>9.9</v>
      </c>
      <c r="R81" s="17">
        <v>-3.98</v>
      </c>
      <c r="S81" s="17">
        <v>70.13</v>
      </c>
      <c r="T81" s="17">
        <v>59.24</v>
      </c>
      <c r="U81" s="17">
        <v>10.89</v>
      </c>
      <c r="V81" s="17">
        <v>33.6</v>
      </c>
      <c r="W81" s="17">
        <v>33.9</v>
      </c>
      <c r="X81" s="17">
        <v>543.64</v>
      </c>
      <c r="Y81" s="17">
        <v>455</v>
      </c>
      <c r="Z81" s="17">
        <v>47.41</v>
      </c>
      <c r="AA81" s="17">
        <v>598.63</v>
      </c>
      <c r="AB81" s="17">
        <v>436</v>
      </c>
      <c r="AC81" s="17">
        <v>37.5</v>
      </c>
      <c r="AD81" s="17">
        <v>607.70000000000005</v>
      </c>
      <c r="AE81" s="17">
        <v>433</v>
      </c>
      <c r="AF81" s="17">
        <v>41.27</v>
      </c>
      <c r="AG81" s="17">
        <v>182</v>
      </c>
      <c r="AH81" s="17">
        <v>64</v>
      </c>
      <c r="AI81" s="17">
        <v>52.860877139999999</v>
      </c>
      <c r="AJ81" s="17">
        <v>19.619865109999999</v>
      </c>
      <c r="AK81" s="17">
        <v>-33.241011999999998</v>
      </c>
      <c r="AL81" s="17">
        <v>73.69</v>
      </c>
      <c r="AM81" s="17">
        <v>3443</v>
      </c>
      <c r="AN81" s="17">
        <v>3273</v>
      </c>
      <c r="AO81" s="17">
        <v>3260</v>
      </c>
      <c r="AP81" s="17">
        <v>3244</v>
      </c>
      <c r="AQ81" s="17">
        <v>3262</v>
      </c>
    </row>
    <row r="82" spans="1:43" ht="16" x14ac:dyDescent="0.2">
      <c r="A82" s="17">
        <v>207</v>
      </c>
      <c r="B82" s="17" t="s">
        <v>94</v>
      </c>
      <c r="C82" s="17">
        <v>1.37</v>
      </c>
      <c r="D82" s="17">
        <v>0.63</v>
      </c>
      <c r="E82" s="17">
        <v>0.74</v>
      </c>
      <c r="F82" s="17">
        <v>50.3</v>
      </c>
      <c r="G82" s="17">
        <v>20.9</v>
      </c>
      <c r="H82" s="17">
        <v>29.4</v>
      </c>
      <c r="I82" s="17">
        <v>6.75</v>
      </c>
      <c r="J82" s="17">
        <v>68.63</v>
      </c>
      <c r="K82" s="17">
        <v>14.38</v>
      </c>
      <c r="L82" s="17">
        <v>193</v>
      </c>
      <c r="M82" s="17">
        <v>20.59</v>
      </c>
      <c r="N82" s="17">
        <v>1.62</v>
      </c>
      <c r="O82" s="17">
        <v>18.97</v>
      </c>
      <c r="P82" s="17">
        <v>20.02</v>
      </c>
      <c r="Q82" s="17">
        <v>31.2</v>
      </c>
      <c r="R82" s="17">
        <v>-11.18</v>
      </c>
      <c r="S82" s="17">
        <v>66.73</v>
      </c>
      <c r="T82" s="17">
        <v>57.17</v>
      </c>
      <c r="U82" s="17">
        <v>9.56</v>
      </c>
      <c r="V82" s="17">
        <v>39.299999999999997</v>
      </c>
      <c r="W82" s="17">
        <v>39.4</v>
      </c>
      <c r="X82" s="17">
        <v>390.82</v>
      </c>
      <c r="Y82" s="17">
        <v>644</v>
      </c>
      <c r="Z82" s="17">
        <v>56.23</v>
      </c>
      <c r="AA82" s="17">
        <v>393.55</v>
      </c>
      <c r="AB82" s="17">
        <v>610</v>
      </c>
      <c r="AC82" s="17">
        <v>43.19</v>
      </c>
      <c r="AD82" s="17">
        <v>398.29</v>
      </c>
      <c r="AE82" s="17">
        <v>595</v>
      </c>
      <c r="AF82" s="17">
        <v>56.3</v>
      </c>
      <c r="AG82" s="17">
        <v>183</v>
      </c>
      <c r="AH82" s="17">
        <v>103</v>
      </c>
      <c r="AI82" s="17">
        <v>39.843239709999999</v>
      </c>
      <c r="AJ82" s="17">
        <v>23.15647482</v>
      </c>
      <c r="AK82" s="17">
        <v>-16.686765000000001</v>
      </c>
      <c r="AL82" s="17">
        <v>73.66</v>
      </c>
      <c r="AM82" s="17">
        <v>4593</v>
      </c>
      <c r="AN82" s="17">
        <v>4404</v>
      </c>
      <c r="AO82" s="17">
        <v>4401</v>
      </c>
      <c r="AP82" s="17">
        <v>4410</v>
      </c>
      <c r="AQ82" s="17">
        <v>4448</v>
      </c>
    </row>
    <row r="83" spans="1:43" ht="16" x14ac:dyDescent="0.2">
      <c r="A83" s="17">
        <v>1207</v>
      </c>
      <c r="B83" s="17" t="s">
        <v>95</v>
      </c>
      <c r="C83" s="17">
        <v>0.98</v>
      </c>
      <c r="D83" s="17">
        <v>0.26</v>
      </c>
      <c r="E83" s="17">
        <v>0.72</v>
      </c>
      <c r="F83" s="17">
        <v>43.3</v>
      </c>
      <c r="G83" s="17">
        <v>40.9</v>
      </c>
      <c r="H83" s="17">
        <v>2.4</v>
      </c>
      <c r="I83" s="17">
        <v>10.84</v>
      </c>
      <c r="J83" s="17">
        <v>90.45</v>
      </c>
      <c r="K83" s="17">
        <v>15.35</v>
      </c>
      <c r="L83" s="17">
        <v>188.4</v>
      </c>
      <c r="M83" s="17">
        <v>36.53</v>
      </c>
      <c r="N83" s="17">
        <v>4.5199999999999996</v>
      </c>
      <c r="O83" s="17">
        <v>32.01</v>
      </c>
      <c r="P83" s="17">
        <v>2.11</v>
      </c>
      <c r="Q83" s="17">
        <v>5.41</v>
      </c>
      <c r="R83" s="17">
        <v>-3.3</v>
      </c>
      <c r="S83" s="17">
        <v>61.49</v>
      </c>
      <c r="T83" s="17">
        <v>44.2</v>
      </c>
      <c r="U83" s="17">
        <v>17.29</v>
      </c>
      <c r="V83" s="17">
        <v>37.200000000000003</v>
      </c>
      <c r="W83" s="17">
        <v>38.299999999999997</v>
      </c>
      <c r="X83" s="17">
        <v>361.36</v>
      </c>
      <c r="Y83" s="17">
        <v>2624</v>
      </c>
      <c r="Z83" s="17">
        <v>70.87</v>
      </c>
      <c r="AA83" s="17">
        <v>360.89</v>
      </c>
      <c r="AB83" s="17">
        <v>2554</v>
      </c>
      <c r="AC83" s="17">
        <v>70.69</v>
      </c>
      <c r="AD83" s="17">
        <v>366.41</v>
      </c>
      <c r="AE83" s="17">
        <v>2537</v>
      </c>
      <c r="AF83" s="17">
        <v>83.33</v>
      </c>
      <c r="AG83" s="17">
        <v>1162</v>
      </c>
      <c r="AH83" s="17">
        <v>779</v>
      </c>
      <c r="AI83" s="17">
        <v>53.901103999999997</v>
      </c>
      <c r="AJ83" s="17">
        <v>38.089184430000003</v>
      </c>
      <c r="AK83" s="17">
        <v>-15.811920000000001</v>
      </c>
      <c r="AL83" s="17">
        <v>90.03</v>
      </c>
      <c r="AM83" s="17">
        <v>21558</v>
      </c>
      <c r="AN83" s="17">
        <v>20988</v>
      </c>
      <c r="AO83" s="17">
        <v>20865</v>
      </c>
      <c r="AP83" s="17">
        <v>20633</v>
      </c>
      <c r="AQ83" s="17">
        <v>20452</v>
      </c>
    </row>
    <row r="84" spans="1:43" ht="16" x14ac:dyDescent="0.2">
      <c r="A84" s="17">
        <v>1410</v>
      </c>
      <c r="B84" s="17" t="s">
        <v>96</v>
      </c>
      <c r="C84" s="17">
        <v>5.44</v>
      </c>
      <c r="D84" s="17">
        <v>0.49</v>
      </c>
      <c r="E84" s="17">
        <v>4.95</v>
      </c>
      <c r="F84" s="17">
        <v>40.299999999999997</v>
      </c>
      <c r="G84" s="17">
        <v>27.5</v>
      </c>
      <c r="H84" s="17">
        <v>12.8</v>
      </c>
      <c r="I84" s="17">
        <v>6.46</v>
      </c>
      <c r="J84" s="17">
        <v>96.53</v>
      </c>
      <c r="K84" s="17">
        <v>23.48</v>
      </c>
      <c r="L84" s="17">
        <v>149</v>
      </c>
      <c r="M84" s="17">
        <v>24.95</v>
      </c>
      <c r="N84" s="17">
        <v>3.35</v>
      </c>
      <c r="O84" s="17">
        <v>21.6</v>
      </c>
      <c r="P84" s="17">
        <v>2.83</v>
      </c>
      <c r="Q84" s="17">
        <v>6.78</v>
      </c>
      <c r="R84" s="17">
        <v>-3.95</v>
      </c>
      <c r="S84" s="17">
        <v>68.3</v>
      </c>
      <c r="T84" s="17">
        <v>56.14</v>
      </c>
      <c r="U84" s="17">
        <v>12.16</v>
      </c>
      <c r="V84" s="17">
        <v>39</v>
      </c>
      <c r="W84" s="17">
        <v>38.200000000000003</v>
      </c>
      <c r="X84" s="17">
        <v>275.95999999999998</v>
      </c>
      <c r="Y84" s="17">
        <v>2038</v>
      </c>
      <c r="Z84" s="17">
        <v>29.54</v>
      </c>
      <c r="AA84" s="17">
        <v>265.32</v>
      </c>
      <c r="AB84" s="17">
        <v>1890</v>
      </c>
      <c r="AC84" s="17">
        <v>27.21</v>
      </c>
      <c r="AD84" s="17">
        <v>270.39</v>
      </c>
      <c r="AE84" s="17">
        <v>1904</v>
      </c>
      <c r="AF84" s="17">
        <v>25.87</v>
      </c>
      <c r="AG84" s="17">
        <v>739</v>
      </c>
      <c r="AH84" s="17">
        <v>555</v>
      </c>
      <c r="AI84" s="17">
        <v>37.038893340000001</v>
      </c>
      <c r="AJ84" s="17">
        <v>26.000187390000001</v>
      </c>
      <c r="AK84" s="17">
        <v>-11.038705999999999</v>
      </c>
      <c r="AL84" s="17">
        <v>99.08</v>
      </c>
      <c r="AM84" s="17">
        <v>19952</v>
      </c>
      <c r="AN84" s="17">
        <v>19985</v>
      </c>
      <c r="AO84" s="17">
        <v>20239</v>
      </c>
      <c r="AP84" s="17">
        <v>20887</v>
      </c>
      <c r="AQ84" s="17">
        <v>21346</v>
      </c>
    </row>
    <row r="85" spans="1:43" ht="16" x14ac:dyDescent="0.2">
      <c r="A85" s="17">
        <v>107</v>
      </c>
      <c r="B85" s="17" t="s">
        <v>97</v>
      </c>
      <c r="C85" s="17">
        <v>1.28</v>
      </c>
      <c r="D85" s="17">
        <v>0.52</v>
      </c>
      <c r="E85" s="17">
        <v>0.76</v>
      </c>
      <c r="F85" s="17">
        <v>32.700000000000003</v>
      </c>
      <c r="G85" s="17">
        <v>32.4</v>
      </c>
      <c r="H85" s="17">
        <v>0.3</v>
      </c>
      <c r="I85" s="17">
        <v>10.07</v>
      </c>
      <c r="J85" s="17">
        <v>104.37</v>
      </c>
      <c r="K85" s="17">
        <v>21.2</v>
      </c>
      <c r="L85" s="17">
        <v>273</v>
      </c>
      <c r="M85" s="17">
        <v>12.74</v>
      </c>
      <c r="N85" s="17">
        <v>0.57999999999999996</v>
      </c>
      <c r="O85" s="17">
        <v>12.16</v>
      </c>
      <c r="P85" s="17">
        <v>2.79</v>
      </c>
      <c r="Q85" s="17">
        <v>5.51</v>
      </c>
      <c r="R85" s="17">
        <v>-2.72</v>
      </c>
      <c r="S85" s="17">
        <v>69.41</v>
      </c>
      <c r="T85" s="17">
        <v>58.43</v>
      </c>
      <c r="U85" s="17">
        <v>10.98</v>
      </c>
      <c r="V85" s="17">
        <v>39.9</v>
      </c>
      <c r="W85" s="17">
        <v>41</v>
      </c>
      <c r="X85" s="17">
        <v>399.09</v>
      </c>
      <c r="Y85" s="17">
        <v>3703</v>
      </c>
      <c r="Z85" s="17">
        <v>34.39</v>
      </c>
      <c r="AA85" s="17">
        <v>433.76</v>
      </c>
      <c r="AB85" s="17">
        <v>3510</v>
      </c>
      <c r="AC85" s="17">
        <v>38.39</v>
      </c>
      <c r="AD85" s="17">
        <v>428.25</v>
      </c>
      <c r="AE85" s="17">
        <v>3492</v>
      </c>
      <c r="AF85" s="17">
        <v>48.58</v>
      </c>
      <c r="AG85" s="17">
        <v>1480</v>
      </c>
      <c r="AH85" s="17">
        <v>972</v>
      </c>
      <c r="AI85" s="17">
        <v>47.464802280000001</v>
      </c>
      <c r="AJ85" s="17">
        <v>30.485509969999999</v>
      </c>
      <c r="AK85" s="17">
        <v>-16.979292000000001</v>
      </c>
      <c r="AL85" s="17">
        <v>95.89</v>
      </c>
      <c r="AM85" s="17">
        <v>31181</v>
      </c>
      <c r="AN85" s="17">
        <v>31266</v>
      </c>
      <c r="AO85" s="17">
        <v>31175</v>
      </c>
      <c r="AP85" s="17">
        <v>31440</v>
      </c>
      <c r="AQ85" s="17">
        <v>31884</v>
      </c>
    </row>
    <row r="86" spans="1:43" ht="16" x14ac:dyDescent="0.2">
      <c r="A86" s="17">
        <v>306</v>
      </c>
      <c r="B86" s="17" t="s">
        <v>98</v>
      </c>
      <c r="C86" s="17">
        <v>1.56</v>
      </c>
      <c r="D86" s="17">
        <v>0.54</v>
      </c>
      <c r="E86" s="17">
        <v>1.02</v>
      </c>
      <c r="F86" s="17">
        <v>26.8</v>
      </c>
      <c r="G86" s="17">
        <v>24.9</v>
      </c>
      <c r="H86" s="17">
        <v>1.9</v>
      </c>
      <c r="I86" s="17">
        <v>5.17</v>
      </c>
      <c r="J86" s="17">
        <v>85.18</v>
      </c>
      <c r="K86" s="17">
        <v>20.21</v>
      </c>
      <c r="L86" s="17">
        <v>160.6</v>
      </c>
      <c r="M86" s="17">
        <v>18.11</v>
      </c>
      <c r="N86" s="17">
        <v>0.7</v>
      </c>
      <c r="O86" s="17">
        <v>17.41</v>
      </c>
      <c r="P86" s="17">
        <v>1.32</v>
      </c>
      <c r="Q86" s="17">
        <v>3.15</v>
      </c>
      <c r="R86" s="17">
        <v>-1.83</v>
      </c>
      <c r="S86" s="17">
        <v>68.45</v>
      </c>
      <c r="T86" s="17">
        <v>56.15</v>
      </c>
      <c r="U86" s="17">
        <v>12.3</v>
      </c>
      <c r="V86" s="17">
        <v>39.5</v>
      </c>
      <c r="W86" s="17">
        <v>40.5</v>
      </c>
      <c r="X86" s="17">
        <v>283.13</v>
      </c>
      <c r="Y86" s="17">
        <v>5122</v>
      </c>
      <c r="Z86" s="17">
        <v>9.7100000000000009</v>
      </c>
      <c r="AA86" s="17">
        <v>295.88</v>
      </c>
      <c r="AB86" s="17">
        <v>4815</v>
      </c>
      <c r="AC86" s="17">
        <v>4.6500000000000004</v>
      </c>
      <c r="AD86" s="17">
        <v>282.77999999999997</v>
      </c>
      <c r="AE86" s="17">
        <v>4641</v>
      </c>
      <c r="AF86" s="17">
        <v>4.13</v>
      </c>
      <c r="AG86" s="17">
        <v>1164</v>
      </c>
      <c r="AH86" s="17">
        <v>817</v>
      </c>
      <c r="AI86" s="17">
        <v>33.935860060000003</v>
      </c>
      <c r="AJ86" s="17">
        <v>22.406889360000001</v>
      </c>
      <c r="AK86" s="17">
        <v>-11.528971</v>
      </c>
      <c r="AL86" s="17">
        <v>86.82</v>
      </c>
      <c r="AM86" s="17">
        <v>34300</v>
      </c>
      <c r="AN86" s="17">
        <v>34855</v>
      </c>
      <c r="AO86" s="17">
        <v>35297</v>
      </c>
      <c r="AP86" s="17">
        <v>35740</v>
      </c>
      <c r="AQ86" s="17">
        <v>36462</v>
      </c>
    </row>
    <row r="87" spans="1:43" ht="16" x14ac:dyDescent="0.2">
      <c r="A87" s="17">
        <v>108</v>
      </c>
      <c r="B87" s="17" t="s">
        <v>99</v>
      </c>
      <c r="C87" s="17">
        <v>1.41</v>
      </c>
      <c r="D87" s="17">
        <v>0.45</v>
      </c>
      <c r="E87" s="17">
        <v>0.96</v>
      </c>
      <c r="F87" s="17">
        <v>31.1</v>
      </c>
      <c r="G87" s="17">
        <v>31.2</v>
      </c>
      <c r="H87" s="17">
        <v>-0.1</v>
      </c>
      <c r="I87" s="17">
        <v>6.24</v>
      </c>
      <c r="J87" s="17">
        <v>84.46</v>
      </c>
      <c r="K87" s="17">
        <v>14.24</v>
      </c>
      <c r="L87" s="17">
        <v>201.8</v>
      </c>
      <c r="M87" s="17">
        <v>19.68</v>
      </c>
      <c r="N87" s="17">
        <v>0.8</v>
      </c>
      <c r="O87" s="17">
        <v>18.88</v>
      </c>
      <c r="P87" s="17">
        <v>2.31</v>
      </c>
      <c r="Q87" s="17">
        <v>4.5</v>
      </c>
      <c r="R87" s="17">
        <v>-2.19</v>
      </c>
      <c r="S87" s="17">
        <v>60.7</v>
      </c>
      <c r="T87" s="17">
        <v>49.83</v>
      </c>
      <c r="U87" s="17">
        <v>10.87</v>
      </c>
      <c r="V87" s="17">
        <v>37.5</v>
      </c>
      <c r="W87" s="17">
        <v>37.9</v>
      </c>
      <c r="X87" s="17">
        <v>338.63</v>
      </c>
      <c r="Y87" s="17">
        <v>2835</v>
      </c>
      <c r="Z87" s="17">
        <v>34.17</v>
      </c>
      <c r="AA87" s="17">
        <v>344.46</v>
      </c>
      <c r="AB87" s="17">
        <v>2676</v>
      </c>
      <c r="AC87" s="17">
        <v>34.659999999999997</v>
      </c>
      <c r="AD87" s="17">
        <v>344.11</v>
      </c>
      <c r="AE87" s="17">
        <v>2686</v>
      </c>
      <c r="AF87" s="17">
        <v>36.369999999999997</v>
      </c>
      <c r="AG87" s="17">
        <v>1012</v>
      </c>
      <c r="AH87" s="17">
        <v>774</v>
      </c>
      <c r="AI87" s="17">
        <v>38.543570989999999</v>
      </c>
      <c r="AJ87" s="17">
        <v>29.036614650000001</v>
      </c>
      <c r="AK87" s="17">
        <v>-9.5069563000000006</v>
      </c>
      <c r="AL87" s="17">
        <v>86.21</v>
      </c>
      <c r="AM87" s="17">
        <v>26256</v>
      </c>
      <c r="AN87" s="17">
        <v>26275</v>
      </c>
      <c r="AO87" s="17">
        <v>26381</v>
      </c>
      <c r="AP87" s="17">
        <v>26534</v>
      </c>
      <c r="AQ87" s="17">
        <v>26656</v>
      </c>
    </row>
    <row r="88" spans="1:43" ht="16" x14ac:dyDescent="0.2">
      <c r="A88" s="17">
        <v>704</v>
      </c>
      <c r="B88" s="17" t="s">
        <v>100</v>
      </c>
      <c r="C88" s="17">
        <v>0.95</v>
      </c>
      <c r="D88" s="17">
        <v>0.27</v>
      </c>
      <c r="E88" s="17">
        <v>0.68</v>
      </c>
      <c r="F88" s="17">
        <v>32.4</v>
      </c>
      <c r="G88" s="17">
        <v>25</v>
      </c>
      <c r="H88" s="17">
        <v>7.4</v>
      </c>
      <c r="I88" s="17">
        <v>5.32</v>
      </c>
      <c r="J88" s="17">
        <v>95.52</v>
      </c>
      <c r="K88" s="17">
        <v>14.93</v>
      </c>
      <c r="L88" s="17">
        <v>237.8</v>
      </c>
      <c r="M88" s="17">
        <v>23.93</v>
      </c>
      <c r="N88" s="17">
        <v>3.32</v>
      </c>
      <c r="O88" s="17">
        <v>20.61</v>
      </c>
      <c r="P88" s="17">
        <v>6.85</v>
      </c>
      <c r="Q88" s="17">
        <v>10.25</v>
      </c>
      <c r="R88" s="17">
        <v>-3.4</v>
      </c>
      <c r="S88" s="17">
        <v>65.19</v>
      </c>
      <c r="T88" s="17">
        <v>51.65</v>
      </c>
      <c r="U88" s="17">
        <v>13.54</v>
      </c>
      <c r="V88" s="17">
        <v>35.5</v>
      </c>
      <c r="W88" s="17">
        <v>35.299999999999997</v>
      </c>
      <c r="X88" s="17">
        <v>458.21</v>
      </c>
      <c r="Y88" s="17">
        <v>1854</v>
      </c>
      <c r="Z88" s="17">
        <v>42.04</v>
      </c>
      <c r="AA88" s="17">
        <v>457.59</v>
      </c>
      <c r="AB88" s="17">
        <v>1797</v>
      </c>
      <c r="AC88" s="17">
        <v>41.61</v>
      </c>
      <c r="AD88" s="17">
        <v>465.08</v>
      </c>
      <c r="AE88" s="17">
        <v>1835</v>
      </c>
      <c r="AF88" s="17">
        <v>41.01</v>
      </c>
      <c r="AG88" s="17">
        <v>621</v>
      </c>
      <c r="AH88" s="17">
        <v>287</v>
      </c>
      <c r="AI88" s="17">
        <v>47.024079960000002</v>
      </c>
      <c r="AJ88" s="17">
        <v>22.72907262</v>
      </c>
      <c r="AK88" s="17">
        <v>-24.295006999999998</v>
      </c>
      <c r="AL88" s="17">
        <v>95.72</v>
      </c>
      <c r="AM88" s="17">
        <v>13206</v>
      </c>
      <c r="AN88" s="17">
        <v>12815</v>
      </c>
      <c r="AO88" s="17">
        <v>12759</v>
      </c>
      <c r="AP88" s="17">
        <v>12731</v>
      </c>
      <c r="AQ88" s="17">
        <v>12627</v>
      </c>
    </row>
    <row r="89" spans="1:43" ht="16" x14ac:dyDescent="0.2">
      <c r="A89" s="17">
        <v>705</v>
      </c>
      <c r="B89" s="17" t="s">
        <v>101</v>
      </c>
      <c r="C89" s="17">
        <v>2.4500000000000002</v>
      </c>
      <c r="D89" s="17">
        <v>0.79</v>
      </c>
      <c r="E89" s="17">
        <v>1.66</v>
      </c>
      <c r="F89" s="17">
        <v>26.7</v>
      </c>
      <c r="G89" s="17">
        <v>26.7</v>
      </c>
      <c r="H89" s="17">
        <v>0</v>
      </c>
      <c r="I89" s="17">
        <v>6.28</v>
      </c>
      <c r="J89" s="17">
        <v>117.78</v>
      </c>
      <c r="K89" s="17">
        <v>26.35</v>
      </c>
      <c r="L89" s="17">
        <v>187.7</v>
      </c>
      <c r="M89" s="17">
        <v>19.07</v>
      </c>
      <c r="N89" s="17">
        <v>2.4300000000000002</v>
      </c>
      <c r="O89" s="17">
        <v>16.64</v>
      </c>
      <c r="P89" s="17">
        <v>7.92</v>
      </c>
      <c r="Q89" s="17">
        <v>15.38</v>
      </c>
      <c r="R89" s="17">
        <v>-7.46</v>
      </c>
      <c r="S89" s="17">
        <v>68.739999999999995</v>
      </c>
      <c r="T89" s="17">
        <v>54.93</v>
      </c>
      <c r="U89" s="17">
        <v>13.81</v>
      </c>
      <c r="V89" s="17">
        <v>38.6</v>
      </c>
      <c r="W89" s="17">
        <v>39</v>
      </c>
      <c r="X89" s="17">
        <v>347.76</v>
      </c>
      <c r="Y89" s="17">
        <v>7416</v>
      </c>
      <c r="Z89" s="17">
        <v>24.13</v>
      </c>
      <c r="AA89" s="17">
        <v>361.39</v>
      </c>
      <c r="AB89" s="17">
        <v>7118</v>
      </c>
      <c r="AC89" s="17">
        <v>25.39</v>
      </c>
      <c r="AD89" s="17">
        <v>364.38</v>
      </c>
      <c r="AE89" s="17">
        <v>7059</v>
      </c>
      <c r="AF89" s="17">
        <v>25.52</v>
      </c>
      <c r="AG89" s="17">
        <v>2285</v>
      </c>
      <c r="AH89" s="17">
        <v>1403</v>
      </c>
      <c r="AI89" s="17">
        <v>41.710019529999997</v>
      </c>
      <c r="AJ89" s="17">
        <v>26.08436983</v>
      </c>
      <c r="AK89" s="17">
        <v>-15.62565</v>
      </c>
      <c r="AL89" s="17">
        <v>111.98</v>
      </c>
      <c r="AM89" s="17">
        <v>54783</v>
      </c>
      <c r="AN89" s="17">
        <v>54220</v>
      </c>
      <c r="AO89" s="17">
        <v>53885</v>
      </c>
      <c r="AP89" s="17">
        <v>53881</v>
      </c>
      <c r="AQ89" s="17">
        <v>53787</v>
      </c>
    </row>
    <row r="90" spans="1:43" ht="16" x14ac:dyDescent="0.2">
      <c r="A90" s="17">
        <v>307</v>
      </c>
      <c r="B90" s="17" t="s">
        <v>102</v>
      </c>
      <c r="C90" s="17">
        <v>0.9</v>
      </c>
      <c r="D90" s="17">
        <v>0.13</v>
      </c>
      <c r="E90" s="17">
        <v>0.77</v>
      </c>
      <c r="F90" s="17">
        <v>26.5</v>
      </c>
      <c r="G90" s="17">
        <v>25.6</v>
      </c>
      <c r="H90" s="17">
        <v>0.9</v>
      </c>
      <c r="I90" s="17">
        <v>8.34</v>
      </c>
      <c r="J90" s="17">
        <v>75.53</v>
      </c>
      <c r="K90" s="17">
        <v>13.98</v>
      </c>
      <c r="L90" s="17">
        <v>224.1</v>
      </c>
      <c r="M90" s="17">
        <v>18.28</v>
      </c>
      <c r="N90" s="17">
        <v>0.64</v>
      </c>
      <c r="O90" s="17">
        <v>17.64</v>
      </c>
      <c r="P90" s="17">
        <v>1.82</v>
      </c>
      <c r="Q90" s="17">
        <v>3.62</v>
      </c>
      <c r="R90" s="17">
        <v>-1.8</v>
      </c>
      <c r="S90" s="17">
        <v>64.27</v>
      </c>
      <c r="T90" s="17">
        <v>54.59</v>
      </c>
      <c r="U90" s="17">
        <v>9.68</v>
      </c>
      <c r="V90" s="17">
        <v>37.4</v>
      </c>
      <c r="W90" s="17">
        <v>38</v>
      </c>
      <c r="X90" s="17">
        <v>371.55</v>
      </c>
      <c r="Y90" s="17">
        <v>5313</v>
      </c>
      <c r="Z90" s="17">
        <v>13.22</v>
      </c>
      <c r="AA90" s="17">
        <v>370.58</v>
      </c>
      <c r="AB90" s="17">
        <v>5084</v>
      </c>
      <c r="AC90" s="17">
        <v>13.42</v>
      </c>
      <c r="AD90" s="17">
        <v>359.3</v>
      </c>
      <c r="AE90" s="17">
        <v>4931</v>
      </c>
      <c r="AF90" s="17">
        <v>13.84</v>
      </c>
      <c r="AG90" s="17">
        <v>1985</v>
      </c>
      <c r="AH90" s="17">
        <v>1872</v>
      </c>
      <c r="AI90" s="17">
        <v>40.568158590000003</v>
      </c>
      <c r="AJ90" s="17">
        <v>38.717683559999998</v>
      </c>
      <c r="AK90" s="17">
        <v>-1.8504750000000001</v>
      </c>
      <c r="AL90" s="17">
        <v>76.86</v>
      </c>
      <c r="AM90" s="17">
        <v>48930</v>
      </c>
      <c r="AN90" s="17">
        <v>48578</v>
      </c>
      <c r="AO90" s="17">
        <v>48674</v>
      </c>
      <c r="AP90" s="17">
        <v>48366</v>
      </c>
      <c r="AQ90" s="17">
        <v>48350</v>
      </c>
    </row>
    <row r="91" spans="1:43" ht="16" x14ac:dyDescent="0.2">
      <c r="A91" s="17">
        <v>805</v>
      </c>
      <c r="B91" s="17" t="s">
        <v>103</v>
      </c>
      <c r="C91" s="17">
        <v>4.25</v>
      </c>
      <c r="D91" s="17">
        <v>2.93</v>
      </c>
      <c r="E91" s="17">
        <v>1.32</v>
      </c>
      <c r="F91" s="17">
        <v>49.8</v>
      </c>
      <c r="G91" s="17">
        <v>48.5</v>
      </c>
      <c r="H91" s="17">
        <v>1.3</v>
      </c>
      <c r="I91" s="17">
        <v>8.76</v>
      </c>
      <c r="J91" s="17">
        <v>130.57</v>
      </c>
      <c r="K91" s="17">
        <v>27.08</v>
      </c>
      <c r="L91" s="17">
        <v>166.2</v>
      </c>
      <c r="M91" s="17">
        <v>21.5</v>
      </c>
      <c r="N91" s="17">
        <v>1.9</v>
      </c>
      <c r="O91" s="17">
        <v>19.600000000000001</v>
      </c>
      <c r="P91" s="17">
        <v>3.25</v>
      </c>
      <c r="Q91" s="17">
        <v>7.17</v>
      </c>
      <c r="R91" s="17">
        <v>-3.92</v>
      </c>
      <c r="S91" s="17">
        <v>65.239999999999995</v>
      </c>
      <c r="T91" s="17">
        <v>50.52</v>
      </c>
      <c r="U91" s="17">
        <v>14.72</v>
      </c>
      <c r="V91" s="17">
        <v>42.1</v>
      </c>
      <c r="W91" s="17">
        <v>41.9</v>
      </c>
      <c r="X91" s="17">
        <v>278.69</v>
      </c>
      <c r="Y91" s="17">
        <v>11693</v>
      </c>
      <c r="Z91" s="17">
        <v>33.43</v>
      </c>
      <c r="AA91" s="17">
        <v>314.68</v>
      </c>
      <c r="AB91" s="17">
        <v>10859</v>
      </c>
      <c r="AC91" s="17">
        <v>34.19</v>
      </c>
      <c r="AD91" s="17">
        <v>310.76</v>
      </c>
      <c r="AE91" s="17">
        <v>10661</v>
      </c>
      <c r="AF91" s="17">
        <v>26.31</v>
      </c>
      <c r="AG91" s="17">
        <v>3125</v>
      </c>
      <c r="AH91" s="17">
        <v>2356</v>
      </c>
      <c r="AI91" s="17">
        <v>47.140637490000003</v>
      </c>
      <c r="AJ91" s="17">
        <v>34.182577909999999</v>
      </c>
      <c r="AK91" s="17">
        <v>-12.95806</v>
      </c>
      <c r="AL91" s="17">
        <v>116.01</v>
      </c>
      <c r="AM91" s="17">
        <v>66291</v>
      </c>
      <c r="AN91" s="17">
        <v>68033</v>
      </c>
      <c r="AO91" s="17">
        <v>67988</v>
      </c>
      <c r="AP91" s="17">
        <v>67859</v>
      </c>
      <c r="AQ91" s="17">
        <v>68924</v>
      </c>
    </row>
    <row r="92" spans="1:43" ht="16" x14ac:dyDescent="0.2">
      <c r="A92" s="17">
        <v>1303</v>
      </c>
      <c r="B92" s="17" t="s">
        <v>104</v>
      </c>
      <c r="C92" s="17">
        <v>0.71</v>
      </c>
      <c r="D92" s="17">
        <v>0.16</v>
      </c>
      <c r="E92" s="17">
        <v>0.55000000000000004</v>
      </c>
      <c r="F92" s="17">
        <v>25.8</v>
      </c>
      <c r="G92" s="17">
        <v>23.4</v>
      </c>
      <c r="H92" s="17">
        <v>2.4</v>
      </c>
      <c r="I92" s="17">
        <v>7.29</v>
      </c>
      <c r="J92" s="17">
        <v>80.33</v>
      </c>
      <c r="K92" s="17">
        <v>10.73</v>
      </c>
      <c r="L92" s="17">
        <v>174.4</v>
      </c>
      <c r="M92" s="17">
        <v>19.309999999999999</v>
      </c>
      <c r="N92" s="17">
        <v>0.54</v>
      </c>
      <c r="O92" s="17">
        <v>18.77</v>
      </c>
      <c r="P92" s="17">
        <v>1.32</v>
      </c>
      <c r="Q92" s="17">
        <v>2.95</v>
      </c>
      <c r="R92" s="17">
        <v>-1.63</v>
      </c>
      <c r="S92" s="17">
        <v>69.53</v>
      </c>
      <c r="T92" s="17">
        <v>56.65</v>
      </c>
      <c r="U92" s="17">
        <v>12.88</v>
      </c>
      <c r="V92" s="17">
        <v>35.6</v>
      </c>
      <c r="W92" s="17">
        <v>35.700000000000003</v>
      </c>
      <c r="X92" s="17">
        <v>310.43</v>
      </c>
      <c r="Y92" s="17">
        <v>6818</v>
      </c>
      <c r="Z92" s="17">
        <v>18.21</v>
      </c>
      <c r="AA92" s="17">
        <v>299.74</v>
      </c>
      <c r="AB92" s="17">
        <v>6616</v>
      </c>
      <c r="AC92" s="17">
        <v>19.190000000000001</v>
      </c>
      <c r="AD92" s="17">
        <v>283.42</v>
      </c>
      <c r="AE92" s="17">
        <v>6539</v>
      </c>
      <c r="AF92" s="17">
        <v>18.13</v>
      </c>
      <c r="AG92" s="17">
        <v>2222</v>
      </c>
      <c r="AH92" s="17">
        <v>2220</v>
      </c>
      <c r="AI92" s="17">
        <v>39.344842849999999</v>
      </c>
      <c r="AJ92" s="17">
        <v>40.060632310000003</v>
      </c>
      <c r="AK92" s="17">
        <v>0.71578949999999997</v>
      </c>
      <c r="AL92" s="17">
        <v>81.209999999999994</v>
      </c>
      <c r="AM92" s="17">
        <v>56475</v>
      </c>
      <c r="AN92" s="17">
        <v>56209</v>
      </c>
      <c r="AO92" s="17">
        <v>56044</v>
      </c>
      <c r="AP92" s="17">
        <v>55654</v>
      </c>
      <c r="AQ92" s="17">
        <v>55416</v>
      </c>
    </row>
    <row r="93" spans="1:43" ht="16" x14ac:dyDescent="0.2">
      <c r="A93" s="17">
        <v>208</v>
      </c>
      <c r="B93" s="17" t="s">
        <v>105</v>
      </c>
      <c r="C93" s="17">
        <v>3.45</v>
      </c>
      <c r="D93" s="17">
        <v>0.88</v>
      </c>
      <c r="E93" s="17">
        <v>2.57</v>
      </c>
      <c r="F93" s="17">
        <v>49</v>
      </c>
      <c r="G93" s="17">
        <v>37.700000000000003</v>
      </c>
      <c r="H93" s="17">
        <v>11.3</v>
      </c>
      <c r="I93" s="17">
        <v>7.53</v>
      </c>
      <c r="J93" s="17">
        <v>72.88</v>
      </c>
      <c r="K93" s="17">
        <v>10.83</v>
      </c>
      <c r="L93" s="17">
        <v>222.4</v>
      </c>
      <c r="M93" s="17">
        <v>22.07</v>
      </c>
      <c r="N93" s="17">
        <v>1.47</v>
      </c>
      <c r="O93" s="17">
        <v>20.6</v>
      </c>
      <c r="P93" s="17">
        <v>13.34</v>
      </c>
      <c r="Q93" s="17">
        <v>21.99</v>
      </c>
      <c r="R93" s="17">
        <v>-8.65</v>
      </c>
      <c r="S93" s="17">
        <v>62.31</v>
      </c>
      <c r="T93" s="17">
        <v>51.1</v>
      </c>
      <c r="U93" s="17">
        <v>11.21</v>
      </c>
      <c r="V93" s="17">
        <v>38.5</v>
      </c>
      <c r="W93" s="17">
        <v>36.9</v>
      </c>
      <c r="X93" s="17">
        <v>441.97</v>
      </c>
      <c r="Y93" s="17">
        <v>1122</v>
      </c>
      <c r="Z93" s="17">
        <v>27.37</v>
      </c>
      <c r="AA93" s="17">
        <v>447.57</v>
      </c>
      <c r="AB93" s="17">
        <v>1090</v>
      </c>
      <c r="AC93" s="17">
        <v>32.14</v>
      </c>
      <c r="AD93" s="17">
        <v>450.45</v>
      </c>
      <c r="AE93" s="17">
        <v>1071</v>
      </c>
      <c r="AF93" s="17">
        <v>30.91</v>
      </c>
      <c r="AG93" s="17">
        <v>520</v>
      </c>
      <c r="AH93" s="17">
        <v>268</v>
      </c>
      <c r="AI93" s="17">
        <v>66.863829240000001</v>
      </c>
      <c r="AJ93" s="17">
        <v>34.079348930000002</v>
      </c>
      <c r="AK93" s="17">
        <v>-32.784480000000002</v>
      </c>
      <c r="AL93" s="17">
        <v>74.930000000000007</v>
      </c>
      <c r="AM93" s="17">
        <v>7777</v>
      </c>
      <c r="AN93" s="17">
        <v>7648</v>
      </c>
      <c r="AO93" s="17">
        <v>7741</v>
      </c>
      <c r="AP93" s="17">
        <v>7836</v>
      </c>
      <c r="AQ93" s="17">
        <v>7864</v>
      </c>
    </row>
    <row r="94" spans="1:43" ht="16" x14ac:dyDescent="0.2">
      <c r="A94" s="17">
        <v>1411</v>
      </c>
      <c r="B94" s="17" t="s">
        <v>106</v>
      </c>
      <c r="C94" s="17">
        <v>1.45</v>
      </c>
      <c r="D94" s="17">
        <v>0.89</v>
      </c>
      <c r="E94" s="17">
        <v>0.56000000000000005</v>
      </c>
      <c r="F94" s="17">
        <v>23.2</v>
      </c>
      <c r="G94" s="17">
        <v>19.7</v>
      </c>
      <c r="H94" s="17">
        <v>3.5</v>
      </c>
      <c r="I94" s="17">
        <v>4.4000000000000004</v>
      </c>
      <c r="J94" s="17">
        <v>69.180000000000007</v>
      </c>
      <c r="K94" s="17">
        <v>10.34</v>
      </c>
      <c r="L94" s="17">
        <v>298.3</v>
      </c>
      <c r="M94" s="17">
        <v>21.39</v>
      </c>
      <c r="N94" s="17">
        <v>1.25</v>
      </c>
      <c r="O94" s="17">
        <v>20.14</v>
      </c>
      <c r="P94" s="17">
        <v>1.38</v>
      </c>
      <c r="Q94" s="17">
        <v>2.31</v>
      </c>
      <c r="R94" s="17">
        <v>-0.93</v>
      </c>
      <c r="S94" s="17">
        <v>71</v>
      </c>
      <c r="T94" s="17">
        <v>62.07</v>
      </c>
      <c r="U94" s="17">
        <v>8.93</v>
      </c>
      <c r="V94" s="17">
        <v>34.6</v>
      </c>
      <c r="W94" s="17">
        <v>34.700000000000003</v>
      </c>
      <c r="X94" s="17">
        <v>462.43</v>
      </c>
      <c r="Y94" s="17">
        <v>843</v>
      </c>
      <c r="Z94" s="17">
        <v>15.82</v>
      </c>
      <c r="AA94" s="17">
        <v>458.6</v>
      </c>
      <c r="AB94" s="17">
        <v>820</v>
      </c>
      <c r="AC94" s="17">
        <v>11.05</v>
      </c>
      <c r="AD94" s="17">
        <v>465.55</v>
      </c>
      <c r="AE94" s="17">
        <v>816</v>
      </c>
      <c r="AF94" s="17">
        <v>14.28</v>
      </c>
      <c r="AG94" s="17">
        <v>176</v>
      </c>
      <c r="AH94" s="17">
        <v>99</v>
      </c>
      <c r="AI94" s="17">
        <v>22.027534419999999</v>
      </c>
      <c r="AJ94" s="17">
        <v>12.536406230000001</v>
      </c>
      <c r="AK94" s="17">
        <v>-9.4911282000000003</v>
      </c>
      <c r="AL94" s="17">
        <v>74.06</v>
      </c>
      <c r="AM94" s="17">
        <v>7990</v>
      </c>
      <c r="AN94" s="17">
        <v>7810</v>
      </c>
      <c r="AO94" s="17">
        <v>7832</v>
      </c>
      <c r="AP94" s="17">
        <v>7873</v>
      </c>
      <c r="AQ94" s="17">
        <v>7897</v>
      </c>
    </row>
    <row r="95" spans="1:43" ht="16" x14ac:dyDescent="0.2">
      <c r="A95" s="17">
        <v>605</v>
      </c>
      <c r="B95" s="17" t="s">
        <v>107</v>
      </c>
      <c r="C95" s="17">
        <v>2.81</v>
      </c>
      <c r="D95" s="17">
        <v>0.9</v>
      </c>
      <c r="E95" s="17">
        <v>1.91</v>
      </c>
      <c r="F95" s="17">
        <v>25.7</v>
      </c>
      <c r="G95" s="17">
        <v>25.7</v>
      </c>
      <c r="H95" s="17">
        <v>0</v>
      </c>
      <c r="I95" s="17">
        <v>8.1300000000000008</v>
      </c>
      <c r="J95" s="17">
        <v>95.09</v>
      </c>
      <c r="K95" s="17">
        <v>19.829999999999998</v>
      </c>
      <c r="L95" s="17">
        <v>263.60000000000002</v>
      </c>
      <c r="M95" s="17">
        <v>18.690000000000001</v>
      </c>
      <c r="N95" s="17">
        <v>0.98</v>
      </c>
      <c r="O95" s="17">
        <v>17.71</v>
      </c>
      <c r="P95" s="17">
        <v>3.24</v>
      </c>
      <c r="Q95" s="17">
        <v>6.2</v>
      </c>
      <c r="R95" s="17">
        <v>-2.96</v>
      </c>
      <c r="S95" s="17">
        <v>63.72</v>
      </c>
      <c r="T95" s="17">
        <v>50.41</v>
      </c>
      <c r="U95" s="17">
        <v>13.31</v>
      </c>
      <c r="V95" s="17">
        <v>38.9</v>
      </c>
      <c r="W95" s="17">
        <v>39.700000000000003</v>
      </c>
      <c r="X95" s="17">
        <v>374.46</v>
      </c>
      <c r="Y95" s="17">
        <v>7129</v>
      </c>
      <c r="Z95" s="17">
        <v>33.96</v>
      </c>
      <c r="AA95" s="17">
        <v>377.08</v>
      </c>
      <c r="AB95" s="17">
        <v>6883</v>
      </c>
      <c r="AC95" s="17">
        <v>30.16</v>
      </c>
      <c r="AD95" s="17">
        <v>376.67</v>
      </c>
      <c r="AE95" s="17">
        <v>6670</v>
      </c>
      <c r="AF95" s="17">
        <v>27.62</v>
      </c>
      <c r="AG95" s="17">
        <v>2718</v>
      </c>
      <c r="AH95" s="17">
        <v>1944</v>
      </c>
      <c r="AI95" s="17">
        <v>45.534502689999997</v>
      </c>
      <c r="AJ95" s="17">
        <v>32.497492479999998</v>
      </c>
      <c r="AK95" s="17">
        <v>-13.03701</v>
      </c>
      <c r="AL95" s="17">
        <v>94.79</v>
      </c>
      <c r="AM95" s="17">
        <v>59691</v>
      </c>
      <c r="AN95" s="17">
        <v>58961</v>
      </c>
      <c r="AO95" s="17">
        <v>59336</v>
      </c>
      <c r="AP95" s="17">
        <v>59404</v>
      </c>
      <c r="AQ95" s="17">
        <v>59820</v>
      </c>
    </row>
    <row r="96" spans="1:43" ht="16" x14ac:dyDescent="0.2">
      <c r="A96" s="17">
        <v>904</v>
      </c>
      <c r="B96" s="17" t="s">
        <v>108</v>
      </c>
      <c r="C96" s="17">
        <v>0.14000000000000001</v>
      </c>
      <c r="D96" s="17">
        <v>0.15</v>
      </c>
      <c r="E96" s="17">
        <v>-0.01</v>
      </c>
      <c r="F96" s="17">
        <v>42</v>
      </c>
      <c r="G96" s="17">
        <v>27.1</v>
      </c>
      <c r="H96" s="17">
        <v>14.9</v>
      </c>
      <c r="I96" s="17">
        <v>8.27</v>
      </c>
      <c r="J96" s="17">
        <v>67.52</v>
      </c>
      <c r="K96" s="17">
        <v>10.52</v>
      </c>
      <c r="L96" s="17">
        <v>383.5</v>
      </c>
      <c r="M96" s="17">
        <v>18.989999999999998</v>
      </c>
      <c r="N96" s="17">
        <v>0.78</v>
      </c>
      <c r="O96" s="17">
        <v>18.21</v>
      </c>
      <c r="P96" s="17">
        <v>0.72</v>
      </c>
      <c r="Q96" s="17">
        <v>2.04</v>
      </c>
      <c r="R96" s="17">
        <v>-1.32</v>
      </c>
      <c r="S96" s="17">
        <v>58.51</v>
      </c>
      <c r="T96" s="17">
        <v>48.72</v>
      </c>
      <c r="U96" s="17">
        <v>9.7899999999999991</v>
      </c>
      <c r="V96" s="17">
        <v>37.299999999999997</v>
      </c>
      <c r="W96" s="17">
        <v>38.6</v>
      </c>
      <c r="X96" s="17">
        <v>432.08</v>
      </c>
      <c r="Y96" s="17">
        <v>881</v>
      </c>
      <c r="Z96" s="17">
        <v>63.28</v>
      </c>
      <c r="AA96" s="17">
        <v>407.29</v>
      </c>
      <c r="AB96" s="17">
        <v>883</v>
      </c>
      <c r="AC96" s="17">
        <v>55.69</v>
      </c>
      <c r="AD96" s="17">
        <v>416.92</v>
      </c>
      <c r="AE96" s="17">
        <v>902</v>
      </c>
      <c r="AF96" s="17">
        <v>56.3</v>
      </c>
      <c r="AG96" s="17">
        <v>187</v>
      </c>
      <c r="AH96" s="17">
        <v>103</v>
      </c>
      <c r="AI96" s="17">
        <v>33.156028370000001</v>
      </c>
      <c r="AJ96" s="17">
        <v>20.33563672</v>
      </c>
      <c r="AK96" s="17">
        <v>-12.820392</v>
      </c>
      <c r="AL96" s="17">
        <v>69.77</v>
      </c>
      <c r="AM96" s="17">
        <v>5640</v>
      </c>
      <c r="AN96" s="17">
        <v>5273</v>
      </c>
      <c r="AO96" s="17">
        <v>5192</v>
      </c>
      <c r="AP96" s="17">
        <v>5090</v>
      </c>
      <c r="AQ96" s="17">
        <v>5065</v>
      </c>
    </row>
    <row r="97" spans="1:43" ht="16" x14ac:dyDescent="0.2">
      <c r="A97" s="17">
        <v>1008</v>
      </c>
      <c r="B97" s="17" t="s">
        <v>109</v>
      </c>
      <c r="C97" s="17">
        <v>1.77</v>
      </c>
      <c r="D97" s="17">
        <v>1.37</v>
      </c>
      <c r="E97" s="17">
        <v>0.4</v>
      </c>
      <c r="F97" s="17">
        <v>20.5</v>
      </c>
      <c r="G97" s="17">
        <v>24.5</v>
      </c>
      <c r="H97" s="17">
        <v>-4</v>
      </c>
      <c r="I97" s="17">
        <v>6.45</v>
      </c>
      <c r="J97" s="17">
        <v>66.010000000000005</v>
      </c>
      <c r="K97" s="17">
        <v>10.54</v>
      </c>
      <c r="L97" s="17">
        <v>417.2</v>
      </c>
      <c r="M97" s="17">
        <v>17.16</v>
      </c>
      <c r="N97" s="17">
        <v>1.19</v>
      </c>
      <c r="O97" s="17">
        <v>15.97</v>
      </c>
      <c r="P97" s="17">
        <v>1.2</v>
      </c>
      <c r="Q97" s="17">
        <v>1.29</v>
      </c>
      <c r="R97" s="17">
        <v>-0.09</v>
      </c>
      <c r="S97" s="17">
        <v>64.14</v>
      </c>
      <c r="T97" s="17">
        <v>55.38</v>
      </c>
      <c r="U97" s="17">
        <v>8.76</v>
      </c>
      <c r="V97" s="17">
        <v>35</v>
      </c>
      <c r="W97" s="17">
        <v>36.4</v>
      </c>
      <c r="X97" s="17">
        <v>510.45</v>
      </c>
      <c r="Y97" s="17">
        <v>642</v>
      </c>
      <c r="Z97" s="17">
        <v>27.11</v>
      </c>
      <c r="AA97" s="17">
        <v>485.13</v>
      </c>
      <c r="AB97" s="17">
        <v>627</v>
      </c>
      <c r="AC97" s="17">
        <v>25.8</v>
      </c>
      <c r="AD97" s="17">
        <v>487.68</v>
      </c>
      <c r="AE97" s="17">
        <v>592</v>
      </c>
      <c r="AF97" s="17">
        <v>32.03</v>
      </c>
      <c r="AG97" s="17">
        <v>151</v>
      </c>
      <c r="AH97" s="17">
        <v>80</v>
      </c>
      <c r="AI97" s="17">
        <v>27.04639083</v>
      </c>
      <c r="AJ97" s="17">
        <v>15.346249759999999</v>
      </c>
      <c r="AK97" s="17">
        <v>-11.700141</v>
      </c>
      <c r="AL97" s="17">
        <v>71.5</v>
      </c>
      <c r="AM97" s="17">
        <v>5583</v>
      </c>
      <c r="AN97" s="17">
        <v>5352</v>
      </c>
      <c r="AO97" s="17">
        <v>5308</v>
      </c>
      <c r="AP97" s="17">
        <v>5265</v>
      </c>
      <c r="AQ97" s="17">
        <v>5213</v>
      </c>
    </row>
    <row r="98" spans="1:43" ht="16" x14ac:dyDescent="0.2">
      <c r="A98" s="17">
        <v>905</v>
      </c>
      <c r="B98" s="17" t="s">
        <v>110</v>
      </c>
      <c r="C98" s="17">
        <v>0.37</v>
      </c>
      <c r="D98" s="17">
        <v>0.28999999999999998</v>
      </c>
      <c r="E98" s="17">
        <v>0.08</v>
      </c>
      <c r="F98" s="17">
        <v>27.5</v>
      </c>
      <c r="G98" s="17">
        <v>13.2</v>
      </c>
      <c r="H98" s="17">
        <v>14.3</v>
      </c>
      <c r="I98" s="17">
        <v>6.63</v>
      </c>
      <c r="J98" s="17">
        <v>59.88</v>
      </c>
      <c r="K98" s="17">
        <v>9.7100000000000009</v>
      </c>
      <c r="L98" s="17">
        <v>405.1</v>
      </c>
      <c r="M98" s="17">
        <v>17.48</v>
      </c>
      <c r="N98" s="17">
        <v>1.55</v>
      </c>
      <c r="O98" s="17">
        <v>15.93</v>
      </c>
      <c r="P98" s="17">
        <v>0.83</v>
      </c>
      <c r="Q98" s="17">
        <v>1.89</v>
      </c>
      <c r="R98" s="17">
        <v>-1.06</v>
      </c>
      <c r="S98" s="17">
        <v>65.95</v>
      </c>
      <c r="T98" s="17">
        <v>56.95</v>
      </c>
      <c r="U98" s="17">
        <v>9</v>
      </c>
      <c r="V98" s="17">
        <v>35.799999999999997</v>
      </c>
      <c r="W98" s="17">
        <v>35.700000000000003</v>
      </c>
      <c r="X98" s="17">
        <v>417.17</v>
      </c>
      <c r="Y98" s="17">
        <v>469</v>
      </c>
      <c r="Z98" s="17">
        <v>24.83</v>
      </c>
      <c r="AA98" s="17">
        <v>408.14</v>
      </c>
      <c r="AB98" s="17">
        <v>478</v>
      </c>
      <c r="AC98" s="17">
        <v>22.13</v>
      </c>
      <c r="AD98" s="17">
        <v>413.76</v>
      </c>
      <c r="AE98" s="17">
        <v>486</v>
      </c>
      <c r="AF98" s="17">
        <v>21.2</v>
      </c>
      <c r="AG98" s="17">
        <v>166</v>
      </c>
      <c r="AH98" s="17">
        <v>84</v>
      </c>
      <c r="AI98" s="17">
        <v>35.266624180000001</v>
      </c>
      <c r="AJ98" s="17">
        <v>19.208781160000001</v>
      </c>
      <c r="AK98" s="17">
        <v>-16.057842999999998</v>
      </c>
      <c r="AL98" s="17">
        <v>64.69</v>
      </c>
      <c r="AM98" s="17">
        <v>4707</v>
      </c>
      <c r="AN98" s="17">
        <v>4459</v>
      </c>
      <c r="AO98" s="17">
        <v>4462</v>
      </c>
      <c r="AP98" s="17">
        <v>4419</v>
      </c>
      <c r="AQ98" s="17">
        <v>4373</v>
      </c>
    </row>
    <row r="99" spans="1:43" ht="16" x14ac:dyDescent="0.2">
      <c r="A99" s="17">
        <v>404</v>
      </c>
      <c r="B99" s="17" t="s">
        <v>111</v>
      </c>
      <c r="C99" s="17">
        <v>0.82</v>
      </c>
      <c r="D99" s="17">
        <v>0.24</v>
      </c>
      <c r="E99" s="17">
        <v>0.57999999999999996</v>
      </c>
      <c r="F99" s="17">
        <v>41.2</v>
      </c>
      <c r="G99" s="17">
        <v>31.6</v>
      </c>
      <c r="H99" s="17">
        <v>9.6</v>
      </c>
      <c r="I99" s="17">
        <v>7.52</v>
      </c>
      <c r="J99" s="17">
        <v>62.16</v>
      </c>
      <c r="K99" s="17">
        <v>7.94</v>
      </c>
      <c r="L99" s="17">
        <v>359.6</v>
      </c>
      <c r="M99" s="17">
        <v>21.23</v>
      </c>
      <c r="N99" s="17">
        <v>0.61</v>
      </c>
      <c r="O99" s="17">
        <v>20.62</v>
      </c>
      <c r="P99" s="17">
        <v>0.54</v>
      </c>
      <c r="Q99" s="17">
        <v>2.39</v>
      </c>
      <c r="R99" s="17">
        <v>-1.85</v>
      </c>
      <c r="S99" s="17">
        <v>55.49</v>
      </c>
      <c r="T99" s="17">
        <v>45.13</v>
      </c>
      <c r="U99" s="17">
        <v>10.36</v>
      </c>
      <c r="V99" s="17">
        <v>35.200000000000003</v>
      </c>
      <c r="W99" s="17">
        <v>36.200000000000003</v>
      </c>
      <c r="X99" s="17">
        <v>457.16</v>
      </c>
      <c r="Y99" s="17">
        <v>635</v>
      </c>
      <c r="Z99" s="17">
        <v>51.9</v>
      </c>
      <c r="AA99" s="17">
        <v>463.9</v>
      </c>
      <c r="AB99" s="17">
        <v>641</v>
      </c>
      <c r="AC99" s="17">
        <v>48.21</v>
      </c>
      <c r="AD99" s="17">
        <v>462.94</v>
      </c>
      <c r="AE99" s="17">
        <v>623</v>
      </c>
      <c r="AF99" s="17">
        <v>52.32</v>
      </c>
      <c r="AG99" s="17">
        <v>86</v>
      </c>
      <c r="AH99" s="17">
        <v>44</v>
      </c>
      <c r="AI99" s="17">
        <v>24.748201439999999</v>
      </c>
      <c r="AJ99" s="17">
        <v>13.875748979999999</v>
      </c>
      <c r="AK99" s="17">
        <v>-10.872451999999999</v>
      </c>
      <c r="AL99" s="17">
        <v>68.260000000000005</v>
      </c>
      <c r="AM99" s="17">
        <v>3475</v>
      </c>
      <c r="AN99" s="17">
        <v>3355</v>
      </c>
      <c r="AO99" s="17">
        <v>3292</v>
      </c>
      <c r="AP99" s="17">
        <v>3225</v>
      </c>
      <c r="AQ99" s="17">
        <v>3171</v>
      </c>
    </row>
    <row r="100" spans="1:43" ht="16" x14ac:dyDescent="0.2">
      <c r="A100" s="17">
        <v>1208</v>
      </c>
      <c r="B100" s="17" t="s">
        <v>112</v>
      </c>
      <c r="C100" s="17">
        <v>1.18</v>
      </c>
      <c r="D100" s="17">
        <v>0.03</v>
      </c>
      <c r="E100" s="17">
        <v>1.1499999999999999</v>
      </c>
      <c r="F100" s="17">
        <v>23.2</v>
      </c>
      <c r="G100" s="17">
        <v>19.2</v>
      </c>
      <c r="H100" s="17">
        <v>4</v>
      </c>
      <c r="I100" s="17">
        <v>6.28</v>
      </c>
      <c r="J100" s="17">
        <v>76.56</v>
      </c>
      <c r="K100" s="17">
        <v>12.14</v>
      </c>
      <c r="L100" s="17">
        <v>337.1</v>
      </c>
      <c r="M100" s="17">
        <v>22.59</v>
      </c>
      <c r="N100" s="17">
        <v>2.58</v>
      </c>
      <c r="O100" s="17">
        <v>20.010000000000002</v>
      </c>
      <c r="P100" s="17">
        <v>4.3600000000000003</v>
      </c>
      <c r="Q100" s="17">
        <v>8.7100000000000009</v>
      </c>
      <c r="R100" s="17">
        <v>-4.3499999999999996</v>
      </c>
      <c r="S100" s="17">
        <v>69.59</v>
      </c>
      <c r="T100" s="17">
        <v>60.57</v>
      </c>
      <c r="U100" s="17">
        <v>9.02</v>
      </c>
      <c r="V100" s="17">
        <v>35</v>
      </c>
      <c r="W100" s="17">
        <v>36.9</v>
      </c>
      <c r="X100" s="17">
        <v>479.18</v>
      </c>
      <c r="Y100" s="17">
        <v>440</v>
      </c>
      <c r="Z100" s="17">
        <v>10.97</v>
      </c>
      <c r="AA100" s="17">
        <v>498.86</v>
      </c>
      <c r="AB100" s="17">
        <v>429</v>
      </c>
      <c r="AC100" s="17">
        <v>11.36</v>
      </c>
      <c r="AD100" s="17">
        <v>500.38</v>
      </c>
      <c r="AE100" s="17">
        <v>433</v>
      </c>
      <c r="AF100" s="17">
        <v>19.25</v>
      </c>
      <c r="AG100" s="17">
        <v>182</v>
      </c>
      <c r="AH100" s="17">
        <v>96</v>
      </c>
      <c r="AI100" s="17">
        <v>58.221369160000002</v>
      </c>
      <c r="AJ100" s="17">
        <v>32.641958520000003</v>
      </c>
      <c r="AK100" s="17">
        <v>-25.579411</v>
      </c>
      <c r="AL100" s="17">
        <v>76.22</v>
      </c>
      <c r="AM100" s="17">
        <v>3126</v>
      </c>
      <c r="AN100" s="17">
        <v>2963</v>
      </c>
      <c r="AO100" s="17">
        <v>2943</v>
      </c>
      <c r="AP100" s="17">
        <v>2953</v>
      </c>
      <c r="AQ100" s="17">
        <v>2941</v>
      </c>
    </row>
    <row r="101" spans="1:43" ht="16" x14ac:dyDescent="0.2">
      <c r="A101" s="17">
        <v>504</v>
      </c>
      <c r="B101" s="17" t="s">
        <v>113</v>
      </c>
      <c r="C101" s="17">
        <v>1.93</v>
      </c>
      <c r="D101" s="17">
        <v>1.1100000000000001</v>
      </c>
      <c r="E101" s="17">
        <v>0.82</v>
      </c>
      <c r="F101" s="17">
        <v>42.5</v>
      </c>
      <c r="G101" s="17">
        <v>42.1</v>
      </c>
      <c r="H101" s="17">
        <v>0.4</v>
      </c>
      <c r="I101" s="17">
        <v>6.45</v>
      </c>
      <c r="J101" s="17">
        <v>78.88</v>
      </c>
      <c r="K101" s="17">
        <v>15.14</v>
      </c>
      <c r="L101" s="17">
        <v>318.8</v>
      </c>
      <c r="M101" s="17">
        <v>20.47</v>
      </c>
      <c r="N101" s="17">
        <v>1.19</v>
      </c>
      <c r="O101" s="17">
        <v>19.28</v>
      </c>
      <c r="P101" s="17">
        <v>1.64</v>
      </c>
      <c r="Q101" s="17">
        <v>4</v>
      </c>
      <c r="R101" s="17">
        <v>-2.36</v>
      </c>
      <c r="S101" s="17">
        <v>63.43</v>
      </c>
      <c r="T101" s="17">
        <v>52.34</v>
      </c>
      <c r="U101" s="17">
        <v>11.09</v>
      </c>
      <c r="V101" s="17">
        <v>37</v>
      </c>
      <c r="W101" s="17">
        <v>37.1</v>
      </c>
      <c r="X101" s="17">
        <v>414.21</v>
      </c>
      <c r="Y101" s="17">
        <v>3374</v>
      </c>
      <c r="Z101" s="17">
        <v>35.630000000000003</v>
      </c>
      <c r="AA101" s="17">
        <v>414.81</v>
      </c>
      <c r="AB101" s="17">
        <v>3235</v>
      </c>
      <c r="AC101" s="17">
        <v>32.520000000000003</v>
      </c>
      <c r="AD101" s="17">
        <v>414.7</v>
      </c>
      <c r="AE101" s="17">
        <v>3240</v>
      </c>
      <c r="AF101" s="17">
        <v>36.29</v>
      </c>
      <c r="AG101" s="17">
        <v>1150</v>
      </c>
      <c r="AH101" s="17">
        <v>607</v>
      </c>
      <c r="AI101" s="17">
        <v>42.369759049999999</v>
      </c>
      <c r="AJ101" s="17">
        <v>22.793841530000002</v>
      </c>
      <c r="AK101" s="17">
        <v>-19.575918000000001</v>
      </c>
      <c r="AL101" s="17">
        <v>79.83</v>
      </c>
      <c r="AM101" s="17">
        <v>27142</v>
      </c>
      <c r="AN101" s="17">
        <v>26597</v>
      </c>
      <c r="AO101" s="17">
        <v>26654</v>
      </c>
      <c r="AP101" s="17">
        <v>26650</v>
      </c>
      <c r="AQ101" s="17">
        <v>26630</v>
      </c>
    </row>
    <row r="102" spans="1:43" ht="16" x14ac:dyDescent="0.2">
      <c r="A102" s="17">
        <v>1209</v>
      </c>
      <c r="B102" s="17" t="s">
        <v>114</v>
      </c>
      <c r="C102" s="17">
        <v>0.09</v>
      </c>
      <c r="D102" s="17">
        <v>0.06</v>
      </c>
      <c r="E102" s="17">
        <v>0.03</v>
      </c>
      <c r="F102" s="17">
        <v>32.200000000000003</v>
      </c>
      <c r="G102" s="17">
        <v>25.1</v>
      </c>
      <c r="H102" s="17">
        <v>7.1</v>
      </c>
      <c r="I102" s="17">
        <v>7.71</v>
      </c>
      <c r="J102" s="17">
        <v>74.209999999999994</v>
      </c>
      <c r="K102" s="17">
        <v>7.69</v>
      </c>
      <c r="L102" s="17">
        <v>535.1</v>
      </c>
      <c r="M102" s="17">
        <v>19.309999999999999</v>
      </c>
      <c r="N102" s="17">
        <v>2.09</v>
      </c>
      <c r="O102" s="17">
        <v>17.22</v>
      </c>
      <c r="P102" s="17">
        <v>5.91</v>
      </c>
      <c r="Q102" s="17">
        <v>8.56</v>
      </c>
      <c r="R102" s="17">
        <v>-2.65</v>
      </c>
      <c r="S102" s="17">
        <v>66.87</v>
      </c>
      <c r="T102" s="17">
        <v>59.87</v>
      </c>
      <c r="U102" s="17">
        <v>7</v>
      </c>
      <c r="V102" s="17">
        <v>33.700000000000003</v>
      </c>
      <c r="W102" s="17">
        <v>34.1</v>
      </c>
      <c r="X102" s="17">
        <v>590.71</v>
      </c>
      <c r="Y102" s="17">
        <v>323</v>
      </c>
      <c r="Z102" s="17">
        <v>23.32</v>
      </c>
      <c r="AA102" s="17">
        <v>642.59</v>
      </c>
      <c r="AB102" s="17">
        <v>301</v>
      </c>
      <c r="AC102" s="17">
        <v>22.99</v>
      </c>
      <c r="AD102" s="17">
        <v>659.32</v>
      </c>
      <c r="AE102" s="17">
        <v>294</v>
      </c>
      <c r="AF102" s="17">
        <v>31.01</v>
      </c>
      <c r="AG102" s="17">
        <v>125</v>
      </c>
      <c r="AH102" s="17">
        <v>82</v>
      </c>
      <c r="AI102" s="17">
        <v>34.134352810000003</v>
      </c>
      <c r="AJ102" s="17">
        <v>24.397500740000002</v>
      </c>
      <c r="AK102" s="17">
        <v>-9.7368521000000001</v>
      </c>
      <c r="AL102" s="17">
        <v>70.87</v>
      </c>
      <c r="AM102" s="17">
        <v>3662</v>
      </c>
      <c r="AN102" s="17">
        <v>3422</v>
      </c>
      <c r="AO102" s="17">
        <v>3402</v>
      </c>
      <c r="AP102" s="17">
        <v>3381</v>
      </c>
      <c r="AQ102" s="17">
        <v>3361</v>
      </c>
    </row>
    <row r="103" spans="1:43" ht="16" x14ac:dyDescent="0.2">
      <c r="A103" s="17">
        <v>606</v>
      </c>
      <c r="B103" s="17" t="s">
        <v>115</v>
      </c>
      <c r="C103" s="17">
        <v>1.48</v>
      </c>
      <c r="D103" s="17">
        <v>1.3</v>
      </c>
      <c r="E103" s="17">
        <v>0.18</v>
      </c>
      <c r="F103" s="17">
        <v>25.1</v>
      </c>
      <c r="G103" s="17">
        <v>25</v>
      </c>
      <c r="H103" s="17">
        <v>0.1</v>
      </c>
      <c r="I103" s="17">
        <v>5.78</v>
      </c>
      <c r="J103" s="17">
        <v>66.06</v>
      </c>
      <c r="K103" s="17">
        <v>9.56</v>
      </c>
      <c r="L103" s="17">
        <v>470.3</v>
      </c>
      <c r="M103" s="17">
        <v>13.79</v>
      </c>
      <c r="N103" s="17">
        <v>1</v>
      </c>
      <c r="O103" s="17">
        <v>12.79</v>
      </c>
      <c r="P103" s="17">
        <v>1.8</v>
      </c>
      <c r="Q103" s="17">
        <v>1.89</v>
      </c>
      <c r="R103" s="17">
        <v>-0.09</v>
      </c>
      <c r="S103" s="17">
        <v>65.53</v>
      </c>
      <c r="T103" s="17">
        <v>57.64</v>
      </c>
      <c r="U103" s="17">
        <v>7.89</v>
      </c>
      <c r="V103" s="17">
        <v>33.700000000000003</v>
      </c>
      <c r="W103" s="17">
        <v>34.9</v>
      </c>
      <c r="X103" s="17">
        <v>516</v>
      </c>
      <c r="Y103" s="17">
        <v>478</v>
      </c>
      <c r="Z103" s="17">
        <v>25.92</v>
      </c>
      <c r="AA103" s="17">
        <v>538.53</v>
      </c>
      <c r="AB103" s="17">
        <v>441</v>
      </c>
      <c r="AC103" s="17">
        <v>19.59</v>
      </c>
      <c r="AD103" s="17">
        <v>537.79</v>
      </c>
      <c r="AE103" s="17">
        <v>425</v>
      </c>
      <c r="AF103" s="17">
        <v>23.29</v>
      </c>
      <c r="AG103" s="17">
        <v>129</v>
      </c>
      <c r="AH103" s="17">
        <v>60</v>
      </c>
      <c r="AI103" s="17">
        <v>32.314629259999997</v>
      </c>
      <c r="AJ103" s="17">
        <v>15.90246488</v>
      </c>
      <c r="AK103" s="17">
        <v>-16.412164000000001</v>
      </c>
      <c r="AL103" s="17">
        <v>68.33</v>
      </c>
      <c r="AM103" s="17">
        <v>3992</v>
      </c>
      <c r="AN103" s="17">
        <v>3838</v>
      </c>
      <c r="AO103" s="17">
        <v>3806</v>
      </c>
      <c r="AP103" s="17">
        <v>3781</v>
      </c>
      <c r="AQ103" s="17">
        <v>3773</v>
      </c>
    </row>
    <row r="104" spans="1:43" ht="16" x14ac:dyDescent="0.2">
      <c r="A104" s="17">
        <v>1412</v>
      </c>
      <c r="B104" s="17" t="s">
        <v>116</v>
      </c>
      <c r="C104" s="17">
        <v>1.51</v>
      </c>
      <c r="D104" s="17">
        <v>0.13</v>
      </c>
      <c r="E104" s="17">
        <v>1.38</v>
      </c>
      <c r="F104" s="17">
        <v>33.9</v>
      </c>
      <c r="G104" s="17">
        <v>25.2</v>
      </c>
      <c r="H104" s="17">
        <v>8.6999999999999993</v>
      </c>
      <c r="I104" s="17">
        <v>4.54</v>
      </c>
      <c r="J104" s="17">
        <v>84.67</v>
      </c>
      <c r="K104" s="17">
        <v>14.72</v>
      </c>
      <c r="L104" s="17">
        <v>246.8</v>
      </c>
      <c r="M104" s="17">
        <v>23.8</v>
      </c>
      <c r="N104" s="17">
        <v>1.54</v>
      </c>
      <c r="O104" s="17">
        <v>22.26</v>
      </c>
      <c r="P104" s="17">
        <v>5.73</v>
      </c>
      <c r="Q104" s="17">
        <v>12.66</v>
      </c>
      <c r="R104" s="17">
        <v>-6.93</v>
      </c>
      <c r="S104" s="17">
        <v>66.86</v>
      </c>
      <c r="T104" s="17">
        <v>53.61</v>
      </c>
      <c r="U104" s="17">
        <v>13.25</v>
      </c>
      <c r="V104" s="17">
        <v>35.700000000000003</v>
      </c>
      <c r="W104" s="17">
        <v>36.5</v>
      </c>
      <c r="X104" s="17">
        <v>453.32</v>
      </c>
      <c r="Y104" s="17">
        <v>629</v>
      </c>
      <c r="Z104" s="17">
        <v>18.86</v>
      </c>
      <c r="AA104" s="17">
        <v>470.7</v>
      </c>
      <c r="AB104" s="17">
        <v>602</v>
      </c>
      <c r="AC104" s="17">
        <v>17.420000000000002</v>
      </c>
      <c r="AD104" s="17">
        <v>481.05</v>
      </c>
      <c r="AE104" s="17">
        <v>575</v>
      </c>
      <c r="AF104" s="17">
        <v>16.239999999999998</v>
      </c>
      <c r="AG104" s="17">
        <v>268</v>
      </c>
      <c r="AH104" s="17">
        <v>136</v>
      </c>
      <c r="AI104" s="17">
        <v>47.97708557</v>
      </c>
      <c r="AJ104" s="17">
        <v>25.106147310000001</v>
      </c>
      <c r="AK104" s="17">
        <v>-22.870937999999999</v>
      </c>
      <c r="AL104" s="17">
        <v>84.11</v>
      </c>
      <c r="AM104" s="17">
        <v>5586</v>
      </c>
      <c r="AN104" s="17">
        <v>5392</v>
      </c>
      <c r="AO104" s="17">
        <v>5375</v>
      </c>
      <c r="AP104" s="17">
        <v>5402</v>
      </c>
      <c r="AQ104" s="17">
        <v>5417</v>
      </c>
    </row>
    <row r="105" spans="1:43" ht="16" x14ac:dyDescent="0.2">
      <c r="A105" s="17">
        <v>1304</v>
      </c>
      <c r="B105" s="17" t="s">
        <v>117</v>
      </c>
      <c r="C105" s="17">
        <v>1.18</v>
      </c>
      <c r="D105" s="17">
        <v>0.39</v>
      </c>
      <c r="E105" s="17">
        <v>0.79</v>
      </c>
      <c r="F105" s="17">
        <v>19.2</v>
      </c>
      <c r="G105" s="17">
        <v>22.9</v>
      </c>
      <c r="H105" s="17">
        <v>-3.7</v>
      </c>
      <c r="I105" s="17">
        <v>10.97</v>
      </c>
      <c r="J105" s="17">
        <v>84.89</v>
      </c>
      <c r="K105" s="17">
        <v>17.86</v>
      </c>
      <c r="L105" s="17">
        <v>194</v>
      </c>
      <c r="M105" s="17">
        <v>16.02</v>
      </c>
      <c r="N105" s="17">
        <v>0.75</v>
      </c>
      <c r="O105" s="17">
        <v>15.27</v>
      </c>
      <c r="P105" s="17">
        <v>3.7</v>
      </c>
      <c r="Q105" s="17">
        <v>7.56</v>
      </c>
      <c r="R105" s="17">
        <v>-3.86</v>
      </c>
      <c r="S105" s="17">
        <v>69.72</v>
      </c>
      <c r="T105" s="17">
        <v>57.38</v>
      </c>
      <c r="U105" s="17">
        <v>12.34</v>
      </c>
      <c r="V105" s="17">
        <v>38.1</v>
      </c>
      <c r="W105" s="17">
        <v>38.799999999999997</v>
      </c>
      <c r="X105" s="17">
        <v>329.67</v>
      </c>
      <c r="Y105" s="17">
        <v>17141</v>
      </c>
      <c r="Z105" s="17">
        <v>40.85</v>
      </c>
      <c r="AA105" s="17">
        <v>330.73</v>
      </c>
      <c r="AB105" s="17">
        <v>16118</v>
      </c>
      <c r="AC105" s="17">
        <v>43.86</v>
      </c>
      <c r="AD105" s="17">
        <v>322.89999999999998</v>
      </c>
      <c r="AE105" s="17">
        <v>16022</v>
      </c>
      <c r="AF105" s="17">
        <v>50.46</v>
      </c>
      <c r="AG105" s="17">
        <v>9266</v>
      </c>
      <c r="AH105" s="17">
        <v>6083</v>
      </c>
      <c r="AI105" s="17">
        <v>56.220952099999998</v>
      </c>
      <c r="AJ105" s="17">
        <v>36.370485080000002</v>
      </c>
      <c r="AK105" s="17">
        <v>-19.850466999999998</v>
      </c>
      <c r="AL105" s="17">
        <v>85.87</v>
      </c>
      <c r="AM105" s="17">
        <v>164814</v>
      </c>
      <c r="AN105" s="17">
        <v>164774</v>
      </c>
      <c r="AO105" s="17">
        <v>164939</v>
      </c>
      <c r="AP105" s="17">
        <v>165675</v>
      </c>
      <c r="AQ105" s="17">
        <v>167251</v>
      </c>
    </row>
    <row r="106" spans="1:43" ht="16" x14ac:dyDescent="0.2">
      <c r="A106" s="17">
        <v>906</v>
      </c>
      <c r="B106" s="17" t="s">
        <v>118</v>
      </c>
      <c r="C106" s="17">
        <v>0.68</v>
      </c>
      <c r="D106" s="17">
        <v>0.24</v>
      </c>
      <c r="E106" s="17">
        <v>0.44</v>
      </c>
      <c r="F106" s="17">
        <v>24.3</v>
      </c>
      <c r="G106" s="17">
        <v>27.5</v>
      </c>
      <c r="H106" s="17">
        <v>-3.2</v>
      </c>
      <c r="I106" s="17">
        <v>6.84</v>
      </c>
      <c r="J106" s="17">
        <v>66.959999999999994</v>
      </c>
      <c r="K106" s="17">
        <v>12.64</v>
      </c>
      <c r="L106" s="17">
        <v>438.9</v>
      </c>
      <c r="M106" s="17">
        <v>16.03</v>
      </c>
      <c r="N106" s="17">
        <v>1.27</v>
      </c>
      <c r="O106" s="17">
        <v>14.76</v>
      </c>
      <c r="P106" s="17">
        <v>1.56</v>
      </c>
      <c r="Q106" s="17">
        <v>3.19</v>
      </c>
      <c r="R106" s="17">
        <v>-1.63</v>
      </c>
      <c r="S106" s="17">
        <v>57.75</v>
      </c>
      <c r="T106" s="17">
        <v>49.61</v>
      </c>
      <c r="U106" s="17">
        <v>8.14</v>
      </c>
      <c r="V106" s="17">
        <v>35.700000000000003</v>
      </c>
      <c r="W106" s="17">
        <v>37.299999999999997</v>
      </c>
      <c r="X106" s="17">
        <v>504.99</v>
      </c>
      <c r="Y106" s="17">
        <v>1316</v>
      </c>
      <c r="Z106" s="17">
        <v>31.42</v>
      </c>
      <c r="AA106" s="17">
        <v>500.44</v>
      </c>
      <c r="AB106" s="17">
        <v>1284</v>
      </c>
      <c r="AC106" s="17">
        <v>32.119999999999997</v>
      </c>
      <c r="AD106" s="17">
        <v>506.74</v>
      </c>
      <c r="AE106" s="17">
        <v>1313</v>
      </c>
      <c r="AF106" s="17">
        <v>37.25</v>
      </c>
      <c r="AG106" s="17">
        <v>463</v>
      </c>
      <c r="AH106" s="17">
        <v>236</v>
      </c>
      <c r="AI106" s="17">
        <v>36.017113960000003</v>
      </c>
      <c r="AJ106" s="17">
        <v>19.479983489999999</v>
      </c>
      <c r="AK106" s="17">
        <v>-16.537130000000001</v>
      </c>
      <c r="AL106" s="17">
        <v>69.599999999999994</v>
      </c>
      <c r="AM106" s="17">
        <v>12855</v>
      </c>
      <c r="AN106" s="17">
        <v>12340</v>
      </c>
      <c r="AO106" s="17">
        <v>12308</v>
      </c>
      <c r="AP106" s="17">
        <v>12237</v>
      </c>
      <c r="AQ106" s="17">
        <v>12115</v>
      </c>
    </row>
    <row r="107" spans="1:43" ht="16" x14ac:dyDescent="0.2">
      <c r="A107" s="17">
        <v>1505</v>
      </c>
      <c r="B107" s="17" t="s">
        <v>119</v>
      </c>
      <c r="C107" s="17">
        <v>3.08</v>
      </c>
      <c r="D107" s="17">
        <v>0.75</v>
      </c>
      <c r="E107" s="17">
        <v>2.33</v>
      </c>
      <c r="F107" s="17">
        <v>50.2</v>
      </c>
      <c r="G107" s="17">
        <v>41.8</v>
      </c>
      <c r="H107" s="17">
        <v>8.4</v>
      </c>
      <c r="I107" s="17">
        <v>6.37</v>
      </c>
      <c r="J107" s="17">
        <v>89.02</v>
      </c>
      <c r="K107" s="17">
        <v>11.63</v>
      </c>
      <c r="L107" s="17">
        <v>216.8</v>
      </c>
      <c r="M107" s="17">
        <v>19.52</v>
      </c>
      <c r="N107" s="17">
        <v>1.42</v>
      </c>
      <c r="O107" s="17">
        <v>18.100000000000001</v>
      </c>
      <c r="P107" s="17">
        <v>12.56</v>
      </c>
      <c r="Q107" s="17">
        <v>24.65</v>
      </c>
      <c r="R107" s="17">
        <v>-12.09</v>
      </c>
      <c r="S107" s="17">
        <v>64.739999999999995</v>
      </c>
      <c r="T107" s="17">
        <v>53.01</v>
      </c>
      <c r="U107" s="17">
        <v>11.73</v>
      </c>
      <c r="V107" s="17">
        <v>39.9</v>
      </c>
      <c r="W107" s="17">
        <v>40.1</v>
      </c>
      <c r="X107" s="17">
        <v>406.17</v>
      </c>
      <c r="Y107" s="17">
        <v>2211</v>
      </c>
      <c r="Z107" s="17">
        <v>20.51</v>
      </c>
      <c r="AA107" s="17">
        <v>393.51</v>
      </c>
      <c r="AB107" s="17">
        <v>2062</v>
      </c>
      <c r="AC107" s="17">
        <v>20.86</v>
      </c>
      <c r="AD107" s="17">
        <v>400.68</v>
      </c>
      <c r="AE107" s="17">
        <v>2033</v>
      </c>
      <c r="AF107" s="17">
        <v>21.45</v>
      </c>
      <c r="AG107" s="17">
        <v>564</v>
      </c>
      <c r="AH107" s="17">
        <v>271</v>
      </c>
      <c r="AI107" s="17">
        <v>39.994327050000003</v>
      </c>
      <c r="AJ107" s="17">
        <v>19.352995790000001</v>
      </c>
      <c r="AK107" s="17">
        <v>-20.641331000000001</v>
      </c>
      <c r="AL107" s="17">
        <v>95.38</v>
      </c>
      <c r="AM107" s="17">
        <v>14102</v>
      </c>
      <c r="AN107" s="17">
        <v>13907</v>
      </c>
      <c r="AO107" s="17">
        <v>13918</v>
      </c>
      <c r="AP107" s="17">
        <v>13990</v>
      </c>
      <c r="AQ107" s="17">
        <v>14003</v>
      </c>
    </row>
    <row r="108" spans="1:43" ht="16" x14ac:dyDescent="0.2">
      <c r="A108" s="17">
        <v>907</v>
      </c>
      <c r="B108" s="17" t="s">
        <v>120</v>
      </c>
      <c r="C108" s="17">
        <v>1.43</v>
      </c>
      <c r="D108" s="17">
        <v>0.68</v>
      </c>
      <c r="E108" s="17">
        <v>0.75</v>
      </c>
      <c r="F108" s="17">
        <v>24.7</v>
      </c>
      <c r="G108" s="17">
        <v>23.9</v>
      </c>
      <c r="H108" s="17">
        <v>0.8</v>
      </c>
      <c r="I108" s="17">
        <v>6.47</v>
      </c>
      <c r="J108" s="17">
        <v>97.07</v>
      </c>
      <c r="K108" s="17">
        <v>24.37</v>
      </c>
      <c r="L108" s="17">
        <v>250</v>
      </c>
      <c r="M108" s="17">
        <v>19.55</v>
      </c>
      <c r="N108" s="17">
        <v>1.52</v>
      </c>
      <c r="O108" s="17">
        <v>18.03</v>
      </c>
      <c r="P108" s="17">
        <v>1.44</v>
      </c>
      <c r="Q108" s="17">
        <v>2.93</v>
      </c>
      <c r="R108" s="17">
        <v>-1.49</v>
      </c>
      <c r="S108" s="17">
        <v>67.28</v>
      </c>
      <c r="T108" s="17">
        <v>56.33</v>
      </c>
      <c r="U108" s="17">
        <v>10.95</v>
      </c>
      <c r="V108" s="17">
        <v>38.6</v>
      </c>
      <c r="W108" s="17">
        <v>39.6</v>
      </c>
      <c r="X108" s="17">
        <v>324.51</v>
      </c>
      <c r="Y108" s="17">
        <v>4906</v>
      </c>
      <c r="Z108" s="17">
        <v>30.6</v>
      </c>
      <c r="AA108" s="17">
        <v>333.16</v>
      </c>
      <c r="AB108" s="17">
        <v>4793</v>
      </c>
      <c r="AC108" s="17">
        <v>30.45</v>
      </c>
      <c r="AD108" s="17">
        <v>335.89</v>
      </c>
      <c r="AE108" s="17">
        <v>4778</v>
      </c>
      <c r="AF108" s="17">
        <v>31.74</v>
      </c>
      <c r="AG108" s="17">
        <v>1490</v>
      </c>
      <c r="AH108" s="17">
        <v>1003</v>
      </c>
      <c r="AI108" s="17">
        <v>36.322859020000003</v>
      </c>
      <c r="AJ108" s="17">
        <v>25.14225553</v>
      </c>
      <c r="AK108" s="17">
        <v>-11.180603</v>
      </c>
      <c r="AL108" s="17">
        <v>95.28</v>
      </c>
      <c r="AM108" s="17">
        <v>41021</v>
      </c>
      <c r="AN108" s="17">
        <v>40425</v>
      </c>
      <c r="AO108" s="17">
        <v>40299</v>
      </c>
      <c r="AP108" s="17">
        <v>40137</v>
      </c>
      <c r="AQ108" s="17">
        <v>39893</v>
      </c>
    </row>
    <row r="109" spans="1:43" ht="16" x14ac:dyDescent="0.2">
      <c r="A109" s="17">
        <v>308</v>
      </c>
      <c r="B109" s="17" t="s">
        <v>121</v>
      </c>
      <c r="C109" s="17">
        <v>1.55</v>
      </c>
      <c r="D109" s="17">
        <v>0.37</v>
      </c>
      <c r="E109" s="17">
        <v>1.18</v>
      </c>
      <c r="F109" s="17">
        <v>19.399999999999999</v>
      </c>
      <c r="G109" s="17">
        <v>20.399999999999999</v>
      </c>
      <c r="H109" s="17">
        <v>-1</v>
      </c>
      <c r="I109" s="17">
        <v>7.4</v>
      </c>
      <c r="J109" s="17">
        <v>91.3</v>
      </c>
      <c r="K109" s="17">
        <v>16.09</v>
      </c>
      <c r="L109" s="17">
        <v>187.6</v>
      </c>
      <c r="M109" s="17">
        <v>15.95</v>
      </c>
      <c r="N109" s="17">
        <v>0.48</v>
      </c>
      <c r="O109" s="17">
        <v>15.47</v>
      </c>
      <c r="P109" s="17">
        <v>2.59</v>
      </c>
      <c r="Q109" s="17">
        <v>5.36</v>
      </c>
      <c r="R109" s="17">
        <v>-2.77</v>
      </c>
      <c r="S109" s="17">
        <v>74.44</v>
      </c>
      <c r="T109" s="17">
        <v>62.52</v>
      </c>
      <c r="U109" s="17">
        <v>11.92</v>
      </c>
      <c r="V109" s="17">
        <v>36.9</v>
      </c>
      <c r="W109" s="17">
        <v>37.4</v>
      </c>
      <c r="X109" s="17">
        <v>354.17</v>
      </c>
      <c r="Y109" s="17">
        <v>17159</v>
      </c>
      <c r="Z109" s="17">
        <v>9.81</v>
      </c>
      <c r="AA109" s="17">
        <v>361.67</v>
      </c>
      <c r="AB109" s="17">
        <v>16363</v>
      </c>
      <c r="AC109" s="17">
        <v>9.66</v>
      </c>
      <c r="AD109" s="17">
        <v>349.69</v>
      </c>
      <c r="AE109" s="17">
        <v>15833</v>
      </c>
      <c r="AF109" s="17">
        <v>9.6300000000000008</v>
      </c>
      <c r="AG109" s="17">
        <v>7788</v>
      </c>
      <c r="AH109" s="17">
        <v>6252</v>
      </c>
      <c r="AI109" s="17">
        <v>49.871287510000002</v>
      </c>
      <c r="AJ109" s="17">
        <v>39.950413429999998</v>
      </c>
      <c r="AK109" s="17">
        <v>-9.9208741000000007</v>
      </c>
      <c r="AL109" s="17">
        <v>89.31</v>
      </c>
      <c r="AM109" s="17">
        <v>156162</v>
      </c>
      <c r="AN109" s="17">
        <v>157053</v>
      </c>
      <c r="AO109" s="17">
        <v>157326</v>
      </c>
      <c r="AP109" s="17">
        <v>156488</v>
      </c>
      <c r="AQ109" s="17">
        <v>156494</v>
      </c>
    </row>
    <row r="110" spans="1:43" ht="16" x14ac:dyDescent="0.2">
      <c r="A110" s="17">
        <v>505</v>
      </c>
      <c r="B110" s="17" t="s">
        <v>122</v>
      </c>
      <c r="C110" s="17">
        <v>2.21</v>
      </c>
      <c r="D110" s="17">
        <v>1.73</v>
      </c>
      <c r="E110" s="17">
        <v>0.48</v>
      </c>
      <c r="F110" s="17">
        <v>49.6</v>
      </c>
      <c r="G110" s="17">
        <v>38.1</v>
      </c>
      <c r="H110" s="17">
        <v>11.5</v>
      </c>
      <c r="I110" s="17">
        <v>7.11</v>
      </c>
      <c r="J110" s="17">
        <v>68.77</v>
      </c>
      <c r="K110" s="17">
        <v>9.73</v>
      </c>
      <c r="L110" s="17">
        <v>429.7</v>
      </c>
      <c r="M110" s="17">
        <v>23.62</v>
      </c>
      <c r="N110" s="17">
        <v>1.56</v>
      </c>
      <c r="O110" s="17">
        <v>22.06</v>
      </c>
      <c r="P110" s="17">
        <v>2.35</v>
      </c>
      <c r="Q110" s="17">
        <v>4.95</v>
      </c>
      <c r="R110" s="17">
        <v>-2.6</v>
      </c>
      <c r="S110" s="17">
        <v>61.72</v>
      </c>
      <c r="T110" s="17">
        <v>50.56</v>
      </c>
      <c r="U110" s="17">
        <v>11.16</v>
      </c>
      <c r="V110" s="17">
        <v>35</v>
      </c>
      <c r="W110" s="17">
        <v>35</v>
      </c>
      <c r="X110" s="17">
        <v>485.02</v>
      </c>
      <c r="Y110" s="17">
        <v>1051</v>
      </c>
      <c r="Z110" s="17">
        <v>59.08</v>
      </c>
      <c r="AA110" s="17">
        <v>527.91999999999996</v>
      </c>
      <c r="AB110" s="17">
        <v>986</v>
      </c>
      <c r="AC110" s="17">
        <v>52.09</v>
      </c>
      <c r="AD110" s="17">
        <v>544.49</v>
      </c>
      <c r="AE110" s="17">
        <v>945</v>
      </c>
      <c r="AF110" s="17">
        <v>49.43</v>
      </c>
      <c r="AG110" s="17">
        <v>298</v>
      </c>
      <c r="AH110" s="17">
        <v>177</v>
      </c>
      <c r="AI110" s="17">
        <v>33.80217786</v>
      </c>
      <c r="AJ110" s="17">
        <v>21.056388290000001</v>
      </c>
      <c r="AK110" s="17">
        <v>-12.74579</v>
      </c>
      <c r="AL110" s="17">
        <v>68.47</v>
      </c>
      <c r="AM110" s="17">
        <v>8816</v>
      </c>
      <c r="AN110" s="17">
        <v>8521</v>
      </c>
      <c r="AO110" s="17">
        <v>8430</v>
      </c>
      <c r="AP110" s="17">
        <v>8404</v>
      </c>
      <c r="AQ110" s="17">
        <v>8406</v>
      </c>
    </row>
    <row r="111" spans="1:43" ht="16" x14ac:dyDescent="0.2">
      <c r="A111" s="17">
        <v>110</v>
      </c>
      <c r="B111" s="17" t="s">
        <v>123</v>
      </c>
      <c r="C111" s="17">
        <v>2.59</v>
      </c>
      <c r="D111" s="17">
        <v>0.79</v>
      </c>
      <c r="E111" s="17">
        <v>1.8</v>
      </c>
      <c r="F111" s="17">
        <v>33.9</v>
      </c>
      <c r="G111" s="17">
        <v>27.4</v>
      </c>
      <c r="H111" s="17">
        <v>6.5</v>
      </c>
      <c r="I111" s="17">
        <v>6.34</v>
      </c>
      <c r="J111" s="17">
        <v>89.04</v>
      </c>
      <c r="K111" s="17">
        <v>22.31</v>
      </c>
      <c r="L111" s="17">
        <v>172.2</v>
      </c>
      <c r="M111" s="17">
        <v>20.86</v>
      </c>
      <c r="N111" s="17">
        <v>1.21</v>
      </c>
      <c r="O111" s="17">
        <v>19.649999999999999</v>
      </c>
      <c r="P111" s="17">
        <v>1.1100000000000001</v>
      </c>
      <c r="Q111" s="17">
        <v>3.3</v>
      </c>
      <c r="R111" s="17">
        <v>-2.19</v>
      </c>
      <c r="S111" s="17">
        <v>61.18</v>
      </c>
      <c r="T111" s="17">
        <v>46.82</v>
      </c>
      <c r="U111" s="17">
        <v>14.36</v>
      </c>
      <c r="V111" s="17">
        <v>39.799999999999997</v>
      </c>
      <c r="W111" s="17">
        <v>40.299999999999997</v>
      </c>
      <c r="X111" s="17">
        <v>300.85000000000002</v>
      </c>
      <c r="Y111" s="17">
        <v>4685</v>
      </c>
      <c r="Z111" s="17">
        <v>23.61</v>
      </c>
      <c r="AA111" s="17">
        <v>307.92</v>
      </c>
      <c r="AB111" s="17">
        <v>4399</v>
      </c>
      <c r="AC111" s="17">
        <v>23.75</v>
      </c>
      <c r="AD111" s="17">
        <v>305.64</v>
      </c>
      <c r="AE111" s="17">
        <v>4176</v>
      </c>
      <c r="AF111" s="17">
        <v>23.93</v>
      </c>
      <c r="AG111" s="17">
        <v>1812</v>
      </c>
      <c r="AH111" s="17">
        <v>1239</v>
      </c>
      <c r="AI111" s="17">
        <v>47.251486389999997</v>
      </c>
      <c r="AJ111" s="17">
        <v>30.265279199999998</v>
      </c>
      <c r="AK111" s="17">
        <v>-16.986207</v>
      </c>
      <c r="AL111" s="17">
        <v>87.92</v>
      </c>
      <c r="AM111" s="17">
        <v>38348</v>
      </c>
      <c r="AN111" s="17">
        <v>38845</v>
      </c>
      <c r="AO111" s="17">
        <v>39419</v>
      </c>
      <c r="AP111" s="17">
        <v>40233</v>
      </c>
      <c r="AQ111" s="17">
        <v>40938</v>
      </c>
    </row>
    <row r="112" spans="1:43" ht="16" x14ac:dyDescent="0.2">
      <c r="A112" s="17">
        <v>806</v>
      </c>
      <c r="B112" s="17" t="s">
        <v>124</v>
      </c>
      <c r="C112" s="17">
        <v>5.57</v>
      </c>
      <c r="D112" s="17">
        <v>3.31</v>
      </c>
      <c r="E112" s="17">
        <v>2.2599999999999998</v>
      </c>
      <c r="F112" s="17">
        <v>44.1</v>
      </c>
      <c r="G112" s="17">
        <v>48.3</v>
      </c>
      <c r="H112" s="17">
        <v>-4.2</v>
      </c>
      <c r="I112" s="17">
        <v>13.76</v>
      </c>
      <c r="J112" s="17">
        <v>91.48</v>
      </c>
      <c r="K112" s="17">
        <v>15.92</v>
      </c>
      <c r="L112" s="17">
        <v>179.1</v>
      </c>
      <c r="M112" s="17">
        <v>32.14</v>
      </c>
      <c r="N112" s="17">
        <v>2.82</v>
      </c>
      <c r="O112" s="17">
        <v>29.32</v>
      </c>
      <c r="P112" s="17">
        <v>2.86</v>
      </c>
      <c r="Q112" s="17">
        <v>6.53</v>
      </c>
      <c r="R112" s="17">
        <v>-3.67</v>
      </c>
      <c r="S112" s="17">
        <v>66.150000000000006</v>
      </c>
      <c r="T112" s="17">
        <v>47.55</v>
      </c>
      <c r="U112" s="17">
        <v>18.600000000000001</v>
      </c>
      <c r="V112" s="17">
        <v>40.299999999999997</v>
      </c>
      <c r="W112" s="17">
        <v>40.1</v>
      </c>
      <c r="X112" s="17">
        <v>294.86</v>
      </c>
      <c r="Y112" s="17">
        <v>5105</v>
      </c>
      <c r="Z112" s="17">
        <v>33.96</v>
      </c>
      <c r="AA112" s="17">
        <v>309.56</v>
      </c>
      <c r="AB112" s="17">
        <v>4216</v>
      </c>
      <c r="AC112" s="17">
        <v>29.81</v>
      </c>
      <c r="AD112" s="17">
        <v>303.44</v>
      </c>
      <c r="AE112" s="17">
        <v>4441</v>
      </c>
      <c r="AF112" s="17">
        <v>23.95</v>
      </c>
      <c r="AG112" s="17">
        <v>1775</v>
      </c>
      <c r="AH112" s="17">
        <v>1343</v>
      </c>
      <c r="AI112" s="17">
        <v>77.527844509999994</v>
      </c>
      <c r="AJ112" s="17">
        <v>54.802905410000001</v>
      </c>
      <c r="AK112" s="17">
        <v>-22.724938999999999</v>
      </c>
      <c r="AL112" s="17">
        <v>91.4</v>
      </c>
      <c r="AM112" s="17">
        <v>22895</v>
      </c>
      <c r="AN112" s="17">
        <v>23429</v>
      </c>
      <c r="AO112" s="17">
        <v>23828</v>
      </c>
      <c r="AP112" s="17">
        <v>24072</v>
      </c>
      <c r="AQ112" s="17">
        <v>24506</v>
      </c>
    </row>
    <row r="113" spans="1:43" ht="16" x14ac:dyDescent="0.2">
      <c r="A113" s="17">
        <v>807</v>
      </c>
      <c r="B113" s="17" t="s">
        <v>125</v>
      </c>
      <c r="C113" s="17">
        <v>8.58</v>
      </c>
      <c r="D113" s="17">
        <v>5.73</v>
      </c>
      <c r="E113" s="17">
        <v>2.85</v>
      </c>
      <c r="F113" s="17">
        <v>42.3</v>
      </c>
      <c r="G113" s="17">
        <v>41.3</v>
      </c>
      <c r="H113" s="17">
        <v>1</v>
      </c>
      <c r="I113" s="17">
        <v>11.98</v>
      </c>
      <c r="J113" s="17">
        <v>93.94</v>
      </c>
      <c r="K113" s="17">
        <v>18.760000000000002</v>
      </c>
      <c r="L113" s="17">
        <v>209.2</v>
      </c>
      <c r="M113" s="17">
        <v>24.5</v>
      </c>
      <c r="N113" s="17">
        <v>1.6</v>
      </c>
      <c r="O113" s="17">
        <v>22.9</v>
      </c>
      <c r="P113" s="17">
        <v>3.76</v>
      </c>
      <c r="Q113" s="17">
        <v>7.42</v>
      </c>
      <c r="R113" s="17">
        <v>-3.66</v>
      </c>
      <c r="S113" s="17">
        <v>61.47</v>
      </c>
      <c r="T113" s="17">
        <v>44.92</v>
      </c>
      <c r="U113" s="17">
        <v>16.55</v>
      </c>
      <c r="V113" s="17">
        <v>40.6</v>
      </c>
      <c r="W113" s="17">
        <v>40.4</v>
      </c>
      <c r="X113" s="17">
        <v>272.29000000000002</v>
      </c>
      <c r="Y113" s="17">
        <v>7088</v>
      </c>
      <c r="Z113" s="17">
        <v>24.28</v>
      </c>
      <c r="AA113" s="17">
        <v>304.62</v>
      </c>
      <c r="AB113" s="17">
        <v>6002</v>
      </c>
      <c r="AC113" s="17">
        <v>19.41</v>
      </c>
      <c r="AD113" s="17">
        <v>297.19</v>
      </c>
      <c r="AE113" s="17">
        <v>6169</v>
      </c>
      <c r="AF113" s="17">
        <v>14.43</v>
      </c>
      <c r="AG113" s="17">
        <v>2092</v>
      </c>
      <c r="AH113" s="17">
        <v>1592</v>
      </c>
      <c r="AI113" s="17">
        <v>66.052033339999994</v>
      </c>
      <c r="AJ113" s="17">
        <v>46.623323380000002</v>
      </c>
      <c r="AK113" s="17">
        <v>-19.428709999999999</v>
      </c>
      <c r="AL113" s="17">
        <v>94.37</v>
      </c>
      <c r="AM113" s="17">
        <v>31672</v>
      </c>
      <c r="AN113" s="17">
        <v>33022</v>
      </c>
      <c r="AO113" s="17">
        <v>33678</v>
      </c>
      <c r="AP113" s="17">
        <v>33583</v>
      </c>
      <c r="AQ113" s="17">
        <v>34146</v>
      </c>
    </row>
    <row r="114" spans="1:43" ht="16" x14ac:dyDescent="0.2">
      <c r="A114" s="17">
        <v>1805</v>
      </c>
      <c r="B114" s="17" t="s">
        <v>126</v>
      </c>
      <c r="C114" s="17">
        <v>0.59</v>
      </c>
      <c r="D114" s="17">
        <v>0.06</v>
      </c>
      <c r="E114" s="17">
        <v>0.53</v>
      </c>
      <c r="F114" s="17">
        <v>21.7</v>
      </c>
      <c r="G114" s="17">
        <v>19</v>
      </c>
      <c r="H114" s="17">
        <v>2.7</v>
      </c>
      <c r="I114" s="17">
        <v>10.25</v>
      </c>
      <c r="J114" s="17">
        <v>80.66</v>
      </c>
      <c r="K114" s="17">
        <v>17.28</v>
      </c>
      <c r="L114" s="17">
        <v>292.60000000000002</v>
      </c>
      <c r="M114" s="17">
        <v>18.75</v>
      </c>
      <c r="N114" s="17">
        <v>1.56</v>
      </c>
      <c r="O114" s="17">
        <v>17.190000000000001</v>
      </c>
      <c r="P114" s="17">
        <v>2.06</v>
      </c>
      <c r="Q114" s="17">
        <v>3.57</v>
      </c>
      <c r="R114" s="17">
        <v>-1.51</v>
      </c>
      <c r="S114" s="17">
        <v>64.83</v>
      </c>
      <c r="T114" s="17">
        <v>51.56</v>
      </c>
      <c r="U114" s="17">
        <v>13.27</v>
      </c>
      <c r="V114" s="17">
        <v>40.1</v>
      </c>
      <c r="W114" s="17">
        <v>41.6</v>
      </c>
      <c r="X114" s="17">
        <v>335.67</v>
      </c>
      <c r="Y114" s="17">
        <v>3378</v>
      </c>
      <c r="Z114" s="17">
        <v>35.229999999999997</v>
      </c>
      <c r="AA114" s="17">
        <v>327.35000000000002</v>
      </c>
      <c r="AB114" s="17">
        <v>3310</v>
      </c>
      <c r="AC114" s="17">
        <v>34.25</v>
      </c>
      <c r="AD114" s="17">
        <v>322.26</v>
      </c>
      <c r="AE114" s="17">
        <v>3362</v>
      </c>
      <c r="AF114" s="17">
        <v>36.9</v>
      </c>
      <c r="AG114" s="17">
        <v>1478</v>
      </c>
      <c r="AH114" s="17">
        <v>839</v>
      </c>
      <c r="AI114" s="17">
        <v>58.898541479999999</v>
      </c>
      <c r="AJ114" s="17">
        <v>34.722509619999997</v>
      </c>
      <c r="AK114" s="17">
        <v>-24.176031999999999</v>
      </c>
      <c r="AL114" s="17">
        <v>83.6</v>
      </c>
      <c r="AM114" s="17">
        <v>25094</v>
      </c>
      <c r="AN114" s="17">
        <v>24566</v>
      </c>
      <c r="AO114" s="17">
        <v>24439</v>
      </c>
      <c r="AP114" s="17">
        <v>24231</v>
      </c>
      <c r="AQ114" s="17">
        <v>24163</v>
      </c>
    </row>
    <row r="115" spans="1:43" ht="16" x14ac:dyDescent="0.2">
      <c r="A115" s="17">
        <v>1009</v>
      </c>
      <c r="B115" s="17" t="s">
        <v>127</v>
      </c>
      <c r="C115" s="17">
        <v>3.69</v>
      </c>
      <c r="D115" s="17">
        <v>1.06</v>
      </c>
      <c r="E115" s="17">
        <v>2.63</v>
      </c>
      <c r="F115" s="17">
        <v>26.4</v>
      </c>
      <c r="G115" s="17">
        <v>25.6</v>
      </c>
      <c r="H115" s="17">
        <v>0.8</v>
      </c>
      <c r="I115" s="17">
        <v>4.87</v>
      </c>
      <c r="J115" s="17">
        <v>103.21</v>
      </c>
      <c r="K115" s="17">
        <v>22.81</v>
      </c>
      <c r="L115" s="17">
        <v>181.1</v>
      </c>
      <c r="M115" s="17">
        <v>18.38</v>
      </c>
      <c r="N115" s="17">
        <v>1.4</v>
      </c>
      <c r="O115" s="17">
        <v>16.98</v>
      </c>
      <c r="P115" s="17">
        <v>1.46</v>
      </c>
      <c r="Q115" s="17">
        <v>2.78</v>
      </c>
      <c r="R115" s="17">
        <v>-1.32</v>
      </c>
      <c r="S115" s="17">
        <v>70.260000000000005</v>
      </c>
      <c r="T115" s="17">
        <v>58.26</v>
      </c>
      <c r="U115" s="17">
        <v>12</v>
      </c>
      <c r="V115" s="17">
        <v>38.700000000000003</v>
      </c>
      <c r="W115" s="17">
        <v>38.9</v>
      </c>
      <c r="X115" s="17">
        <v>312.8</v>
      </c>
      <c r="Y115" s="17">
        <v>19094</v>
      </c>
      <c r="Z115" s="17">
        <v>17.25</v>
      </c>
      <c r="AA115" s="17">
        <v>321.14999999999998</v>
      </c>
      <c r="AB115" s="17">
        <v>17744</v>
      </c>
      <c r="AC115" s="17">
        <v>13.87</v>
      </c>
      <c r="AD115" s="17">
        <v>316.58</v>
      </c>
      <c r="AE115" s="17">
        <v>17337</v>
      </c>
      <c r="AF115" s="17">
        <v>11.55</v>
      </c>
      <c r="AG115" s="17">
        <v>4284</v>
      </c>
      <c r="AH115" s="17">
        <v>3533</v>
      </c>
      <c r="AI115" s="17">
        <v>33.812421569999998</v>
      </c>
      <c r="AJ115" s="17">
        <v>26.880820499999999</v>
      </c>
      <c r="AK115" s="17">
        <v>-6.9316011</v>
      </c>
      <c r="AL115" s="17">
        <v>105.73</v>
      </c>
      <c r="AM115" s="17">
        <v>126699</v>
      </c>
      <c r="AN115" s="17">
        <v>128078</v>
      </c>
      <c r="AO115" s="17">
        <v>129080</v>
      </c>
      <c r="AP115" s="17">
        <v>130091</v>
      </c>
      <c r="AQ115" s="17">
        <v>131432</v>
      </c>
    </row>
    <row r="116" spans="1:43" ht="16" x14ac:dyDescent="0.2">
      <c r="A116" s="17">
        <v>1106</v>
      </c>
      <c r="B116" s="17" t="s">
        <v>128</v>
      </c>
      <c r="C116" s="17">
        <v>9.09</v>
      </c>
      <c r="D116" s="17">
        <v>4.25</v>
      </c>
      <c r="E116" s="17">
        <v>4.84</v>
      </c>
      <c r="F116" s="17">
        <v>53.6</v>
      </c>
      <c r="G116" s="17">
        <v>62.5</v>
      </c>
      <c r="H116" s="17">
        <v>-8.9</v>
      </c>
      <c r="I116" s="17">
        <v>8.43</v>
      </c>
      <c r="J116" s="17">
        <v>205.62</v>
      </c>
      <c r="K116" s="17">
        <v>43.97</v>
      </c>
      <c r="L116" s="17">
        <v>168.9</v>
      </c>
      <c r="M116" s="17">
        <v>11.73</v>
      </c>
      <c r="N116" s="17">
        <v>1.38</v>
      </c>
      <c r="O116" s="17">
        <v>10.35</v>
      </c>
      <c r="P116" s="17">
        <v>3.53</v>
      </c>
      <c r="Q116" s="17">
        <v>7.01</v>
      </c>
      <c r="R116" s="17">
        <v>-3.48</v>
      </c>
      <c r="S116" s="17">
        <v>70.34</v>
      </c>
      <c r="T116" s="17">
        <v>60.33</v>
      </c>
      <c r="U116" s="17">
        <v>10.01</v>
      </c>
      <c r="V116" s="17">
        <v>48.5</v>
      </c>
      <c r="W116" s="17">
        <v>48.1</v>
      </c>
      <c r="X116" s="17">
        <v>323.57</v>
      </c>
      <c r="Y116" s="17">
        <v>131582</v>
      </c>
      <c r="Z116" s="17">
        <v>43.57</v>
      </c>
      <c r="AA116" s="17">
        <v>370.99</v>
      </c>
      <c r="AB116" s="17">
        <v>121431</v>
      </c>
      <c r="AC116" s="17">
        <v>48.71</v>
      </c>
      <c r="AD116" s="17">
        <v>384.12</v>
      </c>
      <c r="AE116" s="17">
        <v>120698</v>
      </c>
      <c r="AF116" s="17">
        <v>45.22</v>
      </c>
      <c r="AG116" s="17">
        <v>19279</v>
      </c>
      <c r="AH116" s="17">
        <v>15295</v>
      </c>
      <c r="AI116" s="17">
        <v>35.087368069999997</v>
      </c>
      <c r="AJ116" s="17">
        <v>27.434042609999999</v>
      </c>
      <c r="AK116" s="17">
        <v>-7.6533255000000002</v>
      </c>
      <c r="AL116" s="17">
        <v>186.34</v>
      </c>
      <c r="AM116" s="17">
        <v>549457</v>
      </c>
      <c r="AN116" s="17">
        <v>561578</v>
      </c>
      <c r="AO116" s="17">
        <v>548877</v>
      </c>
      <c r="AP116" s="17">
        <v>545143</v>
      </c>
      <c r="AQ116" s="17">
        <v>557519</v>
      </c>
    </row>
    <row r="117" spans="1:43" ht="16" x14ac:dyDescent="0.2">
      <c r="A117" s="17">
        <v>808</v>
      </c>
      <c r="B117" s="17" t="s">
        <v>129</v>
      </c>
      <c r="C117" s="17">
        <v>6.69</v>
      </c>
      <c r="D117" s="17">
        <v>3.98</v>
      </c>
      <c r="E117" s="17">
        <v>2.71</v>
      </c>
      <c r="F117" s="17">
        <v>61.4</v>
      </c>
      <c r="G117" s="17">
        <v>53.9</v>
      </c>
      <c r="H117" s="17">
        <v>7.5</v>
      </c>
      <c r="I117" s="17">
        <v>11.42</v>
      </c>
      <c r="J117" s="17">
        <v>109.34</v>
      </c>
      <c r="K117" s="17">
        <v>17.32</v>
      </c>
      <c r="L117" s="17">
        <v>171.6</v>
      </c>
      <c r="M117" s="17">
        <v>27.58</v>
      </c>
      <c r="N117" s="17">
        <v>2</v>
      </c>
      <c r="O117" s="17">
        <v>25.58</v>
      </c>
      <c r="P117" s="17">
        <v>1.98</v>
      </c>
      <c r="Q117" s="17">
        <v>4.1100000000000003</v>
      </c>
      <c r="R117" s="17">
        <v>-2.13</v>
      </c>
      <c r="S117" s="17">
        <v>57.54</v>
      </c>
      <c r="T117" s="17">
        <v>42.8</v>
      </c>
      <c r="U117" s="17">
        <v>14.74</v>
      </c>
      <c r="V117" s="17">
        <v>41.8</v>
      </c>
      <c r="W117" s="17">
        <v>41.5</v>
      </c>
      <c r="X117" s="17">
        <v>277.91000000000003</v>
      </c>
      <c r="Y117" s="17">
        <v>15516</v>
      </c>
      <c r="Z117" s="17">
        <v>28.49</v>
      </c>
      <c r="AA117" s="17">
        <v>292.82</v>
      </c>
      <c r="AB117" s="17">
        <v>13816</v>
      </c>
      <c r="AC117" s="17">
        <v>24.4</v>
      </c>
      <c r="AD117" s="17">
        <v>280.75</v>
      </c>
      <c r="AE117" s="17">
        <v>14136</v>
      </c>
      <c r="AF117" s="17">
        <v>17.690000000000001</v>
      </c>
      <c r="AG117" s="17">
        <v>4445</v>
      </c>
      <c r="AH117" s="17">
        <v>3673</v>
      </c>
      <c r="AI117" s="17">
        <v>63.307364730000003</v>
      </c>
      <c r="AJ117" s="17">
        <v>49.911672780000004</v>
      </c>
      <c r="AK117" s="17">
        <v>-13.395692</v>
      </c>
      <c r="AL117" s="17">
        <v>115.41</v>
      </c>
      <c r="AM117" s="17">
        <v>70213</v>
      </c>
      <c r="AN117" s="17">
        <v>72061</v>
      </c>
      <c r="AO117" s="17">
        <v>72731</v>
      </c>
      <c r="AP117" s="17">
        <v>72344</v>
      </c>
      <c r="AQ117" s="17">
        <v>73590</v>
      </c>
    </row>
    <row r="118" spans="1:43" ht="16" x14ac:dyDescent="0.2">
      <c r="A118" s="17">
        <v>1107</v>
      </c>
      <c r="B118" s="17" t="s">
        <v>130</v>
      </c>
      <c r="C118" s="17">
        <v>5.37</v>
      </c>
      <c r="D118" s="17">
        <v>1.77</v>
      </c>
      <c r="E118" s="17">
        <v>3.6</v>
      </c>
      <c r="F118" s="17">
        <v>29.6</v>
      </c>
      <c r="G118" s="17">
        <v>28</v>
      </c>
      <c r="H118" s="17">
        <v>1.6</v>
      </c>
      <c r="I118" s="17">
        <v>9.11</v>
      </c>
      <c r="J118" s="17">
        <v>100.99</v>
      </c>
      <c r="K118" s="17">
        <v>22.35</v>
      </c>
      <c r="L118" s="17">
        <v>150.1</v>
      </c>
      <c r="M118" s="17">
        <v>19.14</v>
      </c>
      <c r="N118" s="17">
        <v>2.93</v>
      </c>
      <c r="O118" s="17">
        <v>16.21</v>
      </c>
      <c r="P118" s="17">
        <v>5.45</v>
      </c>
      <c r="Q118" s="17">
        <v>11.58</v>
      </c>
      <c r="R118" s="17">
        <v>-6.13</v>
      </c>
      <c r="S118" s="17">
        <v>69.19</v>
      </c>
      <c r="T118" s="17">
        <v>58.26</v>
      </c>
      <c r="U118" s="17">
        <v>10.93</v>
      </c>
      <c r="V118" s="17">
        <v>41.4</v>
      </c>
      <c r="W118" s="17">
        <v>40.6</v>
      </c>
      <c r="X118" s="17">
        <v>330.44</v>
      </c>
      <c r="Y118" s="17">
        <v>23535</v>
      </c>
      <c r="Z118" s="17">
        <v>30.85</v>
      </c>
      <c r="AA118" s="17">
        <v>318.87</v>
      </c>
      <c r="AB118" s="17">
        <v>21435</v>
      </c>
      <c r="AC118" s="17">
        <v>29.17</v>
      </c>
      <c r="AD118" s="17">
        <v>321.58999999999997</v>
      </c>
      <c r="AE118" s="17">
        <v>21146</v>
      </c>
      <c r="AF118" s="17">
        <v>26.88</v>
      </c>
      <c r="AG118" s="17">
        <v>8389</v>
      </c>
      <c r="AH118" s="17">
        <v>6591</v>
      </c>
      <c r="AI118" s="17">
        <v>41.915240179999998</v>
      </c>
      <c r="AJ118" s="17">
        <v>32.242599759999997</v>
      </c>
      <c r="AK118" s="17">
        <v>-9.6726404000000006</v>
      </c>
      <c r="AL118" s="17">
        <v>102.3</v>
      </c>
      <c r="AM118" s="17">
        <v>200142</v>
      </c>
      <c r="AN118" s="17">
        <v>202355</v>
      </c>
      <c r="AO118" s="17">
        <v>202619</v>
      </c>
      <c r="AP118" s="17">
        <v>202701</v>
      </c>
      <c r="AQ118" s="17">
        <v>204419</v>
      </c>
    </row>
    <row r="119" spans="1:43" ht="16" x14ac:dyDescent="0.2">
      <c r="A119" s="17">
        <v>1108</v>
      </c>
      <c r="B119" s="17" t="s">
        <v>131</v>
      </c>
      <c r="C119" s="17">
        <v>2.69</v>
      </c>
      <c r="D119" s="17">
        <v>1.08</v>
      </c>
      <c r="E119" s="17">
        <v>1.61</v>
      </c>
      <c r="F119" s="17">
        <v>27.4</v>
      </c>
      <c r="G119" s="17">
        <v>22.2</v>
      </c>
      <c r="H119" s="17">
        <v>5.2</v>
      </c>
      <c r="I119" s="17">
        <v>6.26</v>
      </c>
      <c r="J119" s="17">
        <v>79.75</v>
      </c>
      <c r="K119" s="17">
        <v>14.82</v>
      </c>
      <c r="L119" s="17">
        <v>187.6</v>
      </c>
      <c r="M119" s="17">
        <v>25.25</v>
      </c>
      <c r="N119" s="17">
        <v>2.34</v>
      </c>
      <c r="O119" s="17">
        <v>22.91</v>
      </c>
      <c r="P119" s="17">
        <v>1.75</v>
      </c>
      <c r="Q119" s="17">
        <v>3.15</v>
      </c>
      <c r="R119" s="17">
        <v>-1.4</v>
      </c>
      <c r="S119" s="17">
        <v>67.73</v>
      </c>
      <c r="T119" s="17">
        <v>53.59</v>
      </c>
      <c r="U119" s="17">
        <v>14.14</v>
      </c>
      <c r="V119" s="17">
        <v>39.200000000000003</v>
      </c>
      <c r="W119" s="17">
        <v>39.6</v>
      </c>
      <c r="X119" s="17">
        <v>338.8</v>
      </c>
      <c r="Y119" s="17">
        <v>3965</v>
      </c>
      <c r="Z119" s="17">
        <v>21.03</v>
      </c>
      <c r="AA119" s="17">
        <v>353.29</v>
      </c>
      <c r="AB119" s="17">
        <v>3698</v>
      </c>
      <c r="AC119" s="17">
        <v>20.97</v>
      </c>
      <c r="AD119" s="17">
        <v>349.21</v>
      </c>
      <c r="AE119" s="17">
        <v>3530</v>
      </c>
      <c r="AF119" s="17">
        <v>20.86</v>
      </c>
      <c r="AG119" s="17">
        <v>1067</v>
      </c>
      <c r="AH119" s="17">
        <v>752</v>
      </c>
      <c r="AI119" s="17">
        <v>41.645525159999998</v>
      </c>
      <c r="AJ119" s="17">
        <v>27.18039542</v>
      </c>
      <c r="AK119" s="17">
        <v>-14.46513</v>
      </c>
      <c r="AL119" s="17">
        <v>85.34</v>
      </c>
      <c r="AM119" s="17">
        <v>25621</v>
      </c>
      <c r="AN119" s="17">
        <v>25839</v>
      </c>
      <c r="AO119" s="17">
        <v>26388</v>
      </c>
      <c r="AP119" s="17">
        <v>26986</v>
      </c>
      <c r="AQ119" s="17">
        <v>27667</v>
      </c>
    </row>
    <row r="120" spans="1:43" ht="16" x14ac:dyDescent="0.2">
      <c r="A120" s="17">
        <v>607</v>
      </c>
      <c r="B120" s="17" t="s">
        <v>132</v>
      </c>
      <c r="C120" s="17">
        <v>1.51</v>
      </c>
      <c r="D120" s="17">
        <v>0.4</v>
      </c>
      <c r="E120" s="17">
        <v>1.1100000000000001</v>
      </c>
      <c r="F120" s="17">
        <v>17.2</v>
      </c>
      <c r="G120" s="17">
        <v>21.4</v>
      </c>
      <c r="H120" s="17">
        <v>-4.2</v>
      </c>
      <c r="I120" s="17">
        <v>6.59</v>
      </c>
      <c r="J120" s="17">
        <v>80.67</v>
      </c>
      <c r="K120" s="17">
        <v>17.87</v>
      </c>
      <c r="L120" s="17">
        <v>196.5</v>
      </c>
      <c r="M120" s="17">
        <v>15.88</v>
      </c>
      <c r="N120" s="17">
        <v>0.89</v>
      </c>
      <c r="O120" s="17">
        <v>14.99</v>
      </c>
      <c r="P120" s="17">
        <v>1.88</v>
      </c>
      <c r="Q120" s="17">
        <v>4.04</v>
      </c>
      <c r="R120" s="17">
        <v>-2.16</v>
      </c>
      <c r="S120" s="17">
        <v>65.7</v>
      </c>
      <c r="T120" s="17">
        <v>54.04</v>
      </c>
      <c r="U120" s="17">
        <v>11.66</v>
      </c>
      <c r="V120" s="17">
        <v>36.700000000000003</v>
      </c>
      <c r="W120" s="17">
        <v>37.200000000000003</v>
      </c>
      <c r="X120" s="17">
        <v>335.15</v>
      </c>
      <c r="Y120" s="17">
        <v>1973</v>
      </c>
      <c r="Z120" s="17">
        <v>25.4</v>
      </c>
      <c r="AA120" s="17">
        <v>332.91</v>
      </c>
      <c r="AB120" s="17">
        <v>1891</v>
      </c>
      <c r="AC120" s="17">
        <v>28.57</v>
      </c>
      <c r="AD120" s="17">
        <v>335.63</v>
      </c>
      <c r="AE120" s="17">
        <v>1859</v>
      </c>
      <c r="AF120" s="17">
        <v>30.81</v>
      </c>
      <c r="AG120" s="17">
        <v>697</v>
      </c>
      <c r="AH120" s="17">
        <v>404</v>
      </c>
      <c r="AI120" s="17">
        <v>40.776926230000001</v>
      </c>
      <c r="AJ120" s="17">
        <v>23.466542749999999</v>
      </c>
      <c r="AK120" s="17">
        <v>-17.310383000000002</v>
      </c>
      <c r="AL120" s="17">
        <v>84.39</v>
      </c>
      <c r="AM120" s="17">
        <v>17093</v>
      </c>
      <c r="AN120" s="17">
        <v>16947</v>
      </c>
      <c r="AO120" s="17">
        <v>17058</v>
      </c>
      <c r="AP120" s="17">
        <v>17160</v>
      </c>
      <c r="AQ120" s="17">
        <v>17216</v>
      </c>
    </row>
    <row r="121" spans="1:43" ht="16" x14ac:dyDescent="0.2">
      <c r="A121" s="17">
        <v>1305</v>
      </c>
      <c r="B121" s="17" t="s">
        <v>133</v>
      </c>
      <c r="C121" s="17">
        <v>0.53</v>
      </c>
      <c r="D121" s="17">
        <v>0.17</v>
      </c>
      <c r="E121" s="17">
        <v>0.36</v>
      </c>
      <c r="F121" s="17">
        <v>19.8</v>
      </c>
      <c r="G121" s="17">
        <v>19.3</v>
      </c>
      <c r="H121" s="17">
        <v>0.5</v>
      </c>
      <c r="I121" s="17">
        <v>7.63</v>
      </c>
      <c r="J121" s="17">
        <v>72.58</v>
      </c>
      <c r="K121" s="17">
        <v>10.85</v>
      </c>
      <c r="L121" s="17">
        <v>133.80000000000001</v>
      </c>
      <c r="M121" s="17">
        <v>19.07</v>
      </c>
      <c r="N121" s="17">
        <v>0.61</v>
      </c>
      <c r="O121" s="17">
        <v>18.46</v>
      </c>
      <c r="P121" s="17">
        <v>1.42</v>
      </c>
      <c r="Q121" s="17">
        <v>2.68</v>
      </c>
      <c r="R121" s="17">
        <v>-1.26</v>
      </c>
      <c r="S121" s="17">
        <v>70.8</v>
      </c>
      <c r="T121" s="17">
        <v>58.23</v>
      </c>
      <c r="U121" s="17">
        <v>12.57</v>
      </c>
      <c r="V121" s="17">
        <v>36.1</v>
      </c>
      <c r="W121" s="17">
        <v>36.299999999999997</v>
      </c>
      <c r="X121" s="17">
        <v>267.33999999999997</v>
      </c>
      <c r="Y121" s="17">
        <v>5050</v>
      </c>
      <c r="Z121" s="17">
        <v>17.989999999999998</v>
      </c>
      <c r="AA121" s="17">
        <v>266.36</v>
      </c>
      <c r="AB121" s="17">
        <v>4762</v>
      </c>
      <c r="AC121" s="17">
        <v>22.54</v>
      </c>
      <c r="AD121" s="17">
        <v>252.94</v>
      </c>
      <c r="AE121" s="17">
        <v>4599</v>
      </c>
      <c r="AF121" s="17">
        <v>23.65</v>
      </c>
      <c r="AG121" s="17">
        <v>2204</v>
      </c>
      <c r="AH121" s="17">
        <v>1565</v>
      </c>
      <c r="AI121" s="17">
        <v>47.027695979999997</v>
      </c>
      <c r="AJ121" s="17">
        <v>32.651102629999997</v>
      </c>
      <c r="AK121" s="17">
        <v>-14.376593</v>
      </c>
      <c r="AL121" s="17">
        <v>74.56</v>
      </c>
      <c r="AM121" s="17">
        <v>46866</v>
      </c>
      <c r="AN121" s="17">
        <v>47198</v>
      </c>
      <c r="AO121" s="17">
        <v>47527</v>
      </c>
      <c r="AP121" s="17">
        <v>47629</v>
      </c>
      <c r="AQ121" s="17">
        <v>47931</v>
      </c>
    </row>
    <row r="122" spans="1:43" ht="16" x14ac:dyDescent="0.2">
      <c r="A122" s="17">
        <v>1413</v>
      </c>
      <c r="B122" s="17" t="s">
        <v>134</v>
      </c>
      <c r="C122" s="17">
        <v>0.92</v>
      </c>
      <c r="D122" s="17">
        <v>0.2</v>
      </c>
      <c r="E122" s="17">
        <v>0.72</v>
      </c>
      <c r="F122" s="17">
        <v>33.6</v>
      </c>
      <c r="G122" s="17">
        <v>27</v>
      </c>
      <c r="H122" s="17">
        <v>6.6</v>
      </c>
      <c r="I122" s="17">
        <v>5.6</v>
      </c>
      <c r="J122" s="17">
        <v>70.64</v>
      </c>
      <c r="K122" s="17">
        <v>10.79</v>
      </c>
      <c r="L122" s="17">
        <v>493.9</v>
      </c>
      <c r="M122" s="17">
        <v>18.57</v>
      </c>
      <c r="N122" s="17">
        <v>1.1200000000000001</v>
      </c>
      <c r="O122" s="17">
        <v>17.45</v>
      </c>
      <c r="P122" s="17">
        <v>2.56</v>
      </c>
      <c r="Q122" s="17">
        <v>3.08</v>
      </c>
      <c r="R122" s="17">
        <v>-0.52</v>
      </c>
      <c r="S122" s="17">
        <v>72.61</v>
      </c>
      <c r="T122" s="17">
        <v>66.760000000000005</v>
      </c>
      <c r="U122" s="17">
        <v>5.85</v>
      </c>
      <c r="V122" s="17">
        <v>34.4</v>
      </c>
      <c r="W122" s="17">
        <v>35</v>
      </c>
      <c r="X122" s="17">
        <v>520.73</v>
      </c>
      <c r="Y122" s="17">
        <v>699</v>
      </c>
      <c r="Z122" s="17">
        <v>16.41</v>
      </c>
      <c r="AA122" s="17">
        <v>546.79</v>
      </c>
      <c r="AB122" s="17">
        <v>656</v>
      </c>
      <c r="AC122" s="17">
        <v>17.489999999999998</v>
      </c>
      <c r="AD122" s="17">
        <v>556.13</v>
      </c>
      <c r="AE122" s="17">
        <v>663</v>
      </c>
      <c r="AF122" s="17">
        <v>16.46</v>
      </c>
      <c r="AG122" s="17">
        <v>210</v>
      </c>
      <c r="AH122" s="17">
        <v>111</v>
      </c>
      <c r="AI122" s="17">
        <v>31.343283580000001</v>
      </c>
      <c r="AJ122" s="17">
        <v>17.376330620000001</v>
      </c>
      <c r="AK122" s="17">
        <v>-13.966953</v>
      </c>
      <c r="AL122" s="17">
        <v>71.47</v>
      </c>
      <c r="AM122" s="17">
        <v>6700</v>
      </c>
      <c r="AN122" s="17">
        <v>6399</v>
      </c>
      <c r="AO122" s="17">
        <v>6411</v>
      </c>
      <c r="AP122" s="17">
        <v>6448</v>
      </c>
      <c r="AQ122" s="17">
        <v>6388</v>
      </c>
    </row>
    <row r="123" spans="1:43" ht="16" x14ac:dyDescent="0.2">
      <c r="A123" s="17">
        <v>405</v>
      </c>
      <c r="B123" s="17" t="s">
        <v>135</v>
      </c>
      <c r="C123" s="17">
        <v>0.73</v>
      </c>
      <c r="D123" s="17">
        <v>0.39</v>
      </c>
      <c r="E123" s="17">
        <v>0.34</v>
      </c>
      <c r="F123" s="17">
        <v>25.5</v>
      </c>
      <c r="G123" s="17">
        <v>27</v>
      </c>
      <c r="H123" s="17">
        <v>-1.5</v>
      </c>
      <c r="I123" s="17">
        <v>7.41</v>
      </c>
      <c r="J123" s="17">
        <v>73.75</v>
      </c>
      <c r="K123" s="17">
        <v>14.76</v>
      </c>
      <c r="L123" s="17">
        <v>406.4</v>
      </c>
      <c r="M123" s="17">
        <v>16.170000000000002</v>
      </c>
      <c r="N123" s="17">
        <v>0.65</v>
      </c>
      <c r="O123" s="17">
        <v>15.52</v>
      </c>
      <c r="P123" s="17">
        <v>1.0900000000000001</v>
      </c>
      <c r="Q123" s="17">
        <v>1.97</v>
      </c>
      <c r="R123" s="17">
        <v>-0.88</v>
      </c>
      <c r="S123" s="17">
        <v>50.45</v>
      </c>
      <c r="T123" s="17">
        <v>43.67</v>
      </c>
      <c r="U123" s="17">
        <v>6.78</v>
      </c>
      <c r="V123" s="17">
        <v>39.799999999999997</v>
      </c>
      <c r="W123" s="17">
        <v>41.3</v>
      </c>
      <c r="X123" s="17">
        <v>385.34</v>
      </c>
      <c r="Y123" s="17">
        <v>3081</v>
      </c>
      <c r="Z123" s="17">
        <v>36.6</v>
      </c>
      <c r="AA123" s="17">
        <v>377.4</v>
      </c>
      <c r="AB123" s="17">
        <v>3160</v>
      </c>
      <c r="AC123" s="17">
        <v>33.39</v>
      </c>
      <c r="AD123" s="17">
        <v>377.94</v>
      </c>
      <c r="AE123" s="17">
        <v>3103</v>
      </c>
      <c r="AF123" s="17">
        <v>33.14</v>
      </c>
      <c r="AG123" s="17">
        <v>499</v>
      </c>
      <c r="AH123" s="17">
        <v>239</v>
      </c>
      <c r="AI123" s="17">
        <v>34.061433450000003</v>
      </c>
      <c r="AJ123" s="17">
        <v>16.878531070000001</v>
      </c>
      <c r="AK123" s="17">
        <v>-17.182901999999999</v>
      </c>
      <c r="AL123" s="17">
        <v>76.790000000000006</v>
      </c>
      <c r="AM123" s="17">
        <v>14650</v>
      </c>
      <c r="AN123" s="17">
        <v>14384</v>
      </c>
      <c r="AO123" s="17">
        <v>14288</v>
      </c>
      <c r="AP123" s="17">
        <v>14167</v>
      </c>
      <c r="AQ123" s="17">
        <v>14160</v>
      </c>
    </row>
    <row r="124" spans="1:43" ht="16" x14ac:dyDescent="0.2">
      <c r="A124" s="17">
        <v>1109</v>
      </c>
      <c r="B124" s="17" t="s">
        <v>136</v>
      </c>
      <c r="C124" s="17">
        <v>3.32</v>
      </c>
      <c r="D124" s="17">
        <v>1.21</v>
      </c>
      <c r="E124" s="17">
        <v>2.11</v>
      </c>
      <c r="F124" s="17">
        <v>25.6</v>
      </c>
      <c r="G124" s="17">
        <v>24.1</v>
      </c>
      <c r="H124" s="17">
        <v>1.5</v>
      </c>
      <c r="I124" s="17">
        <v>6.23</v>
      </c>
      <c r="J124" s="17">
        <v>98.31</v>
      </c>
      <c r="K124" s="17">
        <v>25.23</v>
      </c>
      <c r="L124" s="17">
        <v>122.5</v>
      </c>
      <c r="M124" s="17">
        <v>19.489999999999998</v>
      </c>
      <c r="N124" s="17">
        <v>2.2799999999999998</v>
      </c>
      <c r="O124" s="17">
        <v>17.21</v>
      </c>
      <c r="P124" s="17">
        <v>2.2200000000000002</v>
      </c>
      <c r="Q124" s="17">
        <v>4.9800000000000004</v>
      </c>
      <c r="R124" s="17">
        <v>-2.76</v>
      </c>
      <c r="S124" s="17">
        <v>73.16</v>
      </c>
      <c r="T124" s="17">
        <v>58.48</v>
      </c>
      <c r="U124" s="17">
        <v>14.68</v>
      </c>
      <c r="V124" s="17">
        <v>42.2</v>
      </c>
      <c r="W124" s="17">
        <v>42.4</v>
      </c>
      <c r="X124" s="17">
        <v>254.57</v>
      </c>
      <c r="Y124" s="17">
        <v>12859</v>
      </c>
      <c r="Z124" s="17">
        <v>11.9</v>
      </c>
      <c r="AA124" s="17">
        <v>262.38</v>
      </c>
      <c r="AB124" s="17">
        <v>11763</v>
      </c>
      <c r="AC124" s="17">
        <v>11.62</v>
      </c>
      <c r="AD124" s="17">
        <v>256.67</v>
      </c>
      <c r="AE124" s="17">
        <v>11371</v>
      </c>
      <c r="AF124" s="17">
        <v>10.85</v>
      </c>
      <c r="AG124" s="17">
        <v>2791</v>
      </c>
      <c r="AH124" s="17">
        <v>2029</v>
      </c>
      <c r="AI124" s="17">
        <v>34.363457279999999</v>
      </c>
      <c r="AJ124" s="17">
        <v>22.70870407</v>
      </c>
      <c r="AK124" s="17">
        <v>-11.654752999999999</v>
      </c>
      <c r="AL124" s="17">
        <v>102.88</v>
      </c>
      <c r="AM124" s="17">
        <v>81220</v>
      </c>
      <c r="AN124" s="17">
        <v>84819</v>
      </c>
      <c r="AO124" s="17">
        <v>87198</v>
      </c>
      <c r="AP124" s="17">
        <v>87921</v>
      </c>
      <c r="AQ124" s="17">
        <v>89349</v>
      </c>
    </row>
    <row r="125" spans="1:43" ht="16" x14ac:dyDescent="0.2">
      <c r="A125" s="17">
        <v>1306</v>
      </c>
      <c r="B125" s="17" t="s">
        <v>137</v>
      </c>
      <c r="C125" s="17">
        <v>1.52</v>
      </c>
      <c r="D125" s="17">
        <v>0.69</v>
      </c>
      <c r="E125" s="17">
        <v>0.83</v>
      </c>
      <c r="F125" s="17">
        <v>28</v>
      </c>
      <c r="G125" s="17">
        <v>31.6</v>
      </c>
      <c r="H125" s="17">
        <v>-3.6</v>
      </c>
      <c r="I125" s="17">
        <v>8.6999999999999993</v>
      </c>
      <c r="J125" s="17">
        <v>110.64</v>
      </c>
      <c r="K125" s="17">
        <v>27.54</v>
      </c>
      <c r="L125" s="17">
        <v>160.9</v>
      </c>
      <c r="M125" s="17">
        <v>14.07</v>
      </c>
      <c r="N125" s="17">
        <v>0.62</v>
      </c>
      <c r="O125" s="17">
        <v>13.45</v>
      </c>
      <c r="P125" s="17">
        <v>2.09</v>
      </c>
      <c r="Q125" s="17">
        <v>4.54</v>
      </c>
      <c r="R125" s="17">
        <v>-2.4500000000000002</v>
      </c>
      <c r="S125" s="17">
        <v>74.52</v>
      </c>
      <c r="T125" s="17">
        <v>62.74</v>
      </c>
      <c r="U125" s="17">
        <v>11.78</v>
      </c>
      <c r="V125" s="17">
        <v>40.6</v>
      </c>
      <c r="W125" s="17">
        <v>41.1</v>
      </c>
      <c r="X125" s="17">
        <v>288.77</v>
      </c>
      <c r="Y125" s="17">
        <v>17833</v>
      </c>
      <c r="Z125" s="17">
        <v>29.6</v>
      </c>
      <c r="AA125" s="17">
        <v>286.54000000000002</v>
      </c>
      <c r="AB125" s="17">
        <v>16809</v>
      </c>
      <c r="AC125" s="17">
        <v>30.89</v>
      </c>
      <c r="AD125" s="17">
        <v>283.13</v>
      </c>
      <c r="AE125" s="17">
        <v>16475</v>
      </c>
      <c r="AF125" s="17">
        <v>34.65</v>
      </c>
      <c r="AG125" s="17">
        <v>7108</v>
      </c>
      <c r="AH125" s="17">
        <v>4877</v>
      </c>
      <c r="AI125" s="17">
        <v>52.855050159999998</v>
      </c>
      <c r="AJ125" s="17">
        <v>34.753299320000004</v>
      </c>
      <c r="AK125" s="17">
        <v>-18.101751</v>
      </c>
      <c r="AL125" s="17">
        <v>108.68</v>
      </c>
      <c r="AM125" s="17">
        <v>134481</v>
      </c>
      <c r="AN125" s="17">
        <v>135267</v>
      </c>
      <c r="AO125" s="17">
        <v>135439</v>
      </c>
      <c r="AP125" s="17">
        <v>137595</v>
      </c>
      <c r="AQ125" s="17">
        <v>140332</v>
      </c>
    </row>
    <row r="126" spans="1:43" ht="16" x14ac:dyDescent="0.2">
      <c r="A126" s="17">
        <v>1806</v>
      </c>
      <c r="B126" s="17" t="s">
        <v>138</v>
      </c>
      <c r="C126" s="17">
        <v>1.48</v>
      </c>
      <c r="D126" s="17">
        <v>0.31</v>
      </c>
      <c r="E126" s="17">
        <v>1.17</v>
      </c>
      <c r="F126" s="17">
        <v>31.2</v>
      </c>
      <c r="G126" s="17">
        <v>28.3</v>
      </c>
      <c r="H126" s="17">
        <v>2.9</v>
      </c>
      <c r="I126" s="17">
        <v>7.94</v>
      </c>
      <c r="J126" s="17">
        <v>83.36</v>
      </c>
      <c r="K126" s="17">
        <v>13.03</v>
      </c>
      <c r="L126" s="17">
        <v>275.39999999999998</v>
      </c>
      <c r="M126" s="17">
        <v>21.78</v>
      </c>
      <c r="N126" s="17">
        <v>1.1200000000000001</v>
      </c>
      <c r="O126" s="17">
        <v>20.66</v>
      </c>
      <c r="P126" s="17">
        <v>1.48</v>
      </c>
      <c r="Q126" s="17">
        <v>2.4300000000000002</v>
      </c>
      <c r="R126" s="17">
        <v>-0.95</v>
      </c>
      <c r="S126" s="17">
        <v>60.83</v>
      </c>
      <c r="T126" s="17">
        <v>50.23</v>
      </c>
      <c r="U126" s="17">
        <v>10.6</v>
      </c>
      <c r="V126" s="17">
        <v>36</v>
      </c>
      <c r="W126" s="17">
        <v>36.5</v>
      </c>
      <c r="X126" s="17">
        <v>382.6</v>
      </c>
      <c r="Y126" s="17">
        <v>2042</v>
      </c>
      <c r="Z126" s="17">
        <v>30.35</v>
      </c>
      <c r="AA126" s="17">
        <v>377.88</v>
      </c>
      <c r="AB126" s="17">
        <v>1960</v>
      </c>
      <c r="AC126" s="17">
        <v>28.66</v>
      </c>
      <c r="AD126" s="17">
        <v>377.19</v>
      </c>
      <c r="AE126" s="17">
        <v>1888</v>
      </c>
      <c r="AF126" s="17">
        <v>29.18</v>
      </c>
      <c r="AG126" s="17">
        <v>758</v>
      </c>
      <c r="AH126" s="17">
        <v>601</v>
      </c>
      <c r="AI126" s="17">
        <v>40.409425310000003</v>
      </c>
      <c r="AJ126" s="17">
        <v>32.7877796</v>
      </c>
      <c r="AK126" s="17">
        <v>-7.6216457000000002</v>
      </c>
      <c r="AL126" s="17">
        <v>85.37</v>
      </c>
      <c r="AM126" s="17">
        <v>18758</v>
      </c>
      <c r="AN126" s="17">
        <v>18352</v>
      </c>
      <c r="AO126" s="17">
        <v>18426</v>
      </c>
      <c r="AP126" s="17">
        <v>18365</v>
      </c>
      <c r="AQ126" s="17">
        <v>18330</v>
      </c>
    </row>
    <row r="127" spans="1:43" ht="16" x14ac:dyDescent="0.2">
      <c r="A127" s="17">
        <v>908</v>
      </c>
      <c r="B127" s="17" t="s">
        <v>139</v>
      </c>
      <c r="C127" s="17">
        <v>1.06</v>
      </c>
      <c r="D127" s="17">
        <v>0.17</v>
      </c>
      <c r="E127" s="17">
        <v>0.89</v>
      </c>
      <c r="F127" s="17">
        <v>28.5</v>
      </c>
      <c r="G127" s="17">
        <v>12.9</v>
      </c>
      <c r="H127" s="17">
        <v>15.6</v>
      </c>
      <c r="I127" s="17">
        <v>9.1199999999999992</v>
      </c>
      <c r="J127" s="17">
        <v>67.06</v>
      </c>
      <c r="K127" s="17">
        <v>12.19</v>
      </c>
      <c r="L127" s="17">
        <v>443.9</v>
      </c>
      <c r="M127" s="17">
        <v>17.95</v>
      </c>
      <c r="N127" s="17">
        <v>0.98</v>
      </c>
      <c r="O127" s="17">
        <v>16.97</v>
      </c>
      <c r="P127" s="17">
        <v>3.11</v>
      </c>
      <c r="Q127" s="17">
        <v>4.55</v>
      </c>
      <c r="R127" s="17">
        <v>-1.44</v>
      </c>
      <c r="S127" s="17">
        <v>58.96</v>
      </c>
      <c r="T127" s="17">
        <v>49.65</v>
      </c>
      <c r="U127" s="17">
        <v>9.31</v>
      </c>
      <c r="V127" s="17">
        <v>34.700000000000003</v>
      </c>
      <c r="W127" s="17">
        <v>34.799999999999997</v>
      </c>
      <c r="X127" s="17">
        <v>559.17999999999995</v>
      </c>
      <c r="Y127" s="17">
        <v>318</v>
      </c>
      <c r="Z127" s="17">
        <v>24.88</v>
      </c>
      <c r="AA127" s="17">
        <v>549.78</v>
      </c>
      <c r="AB127" s="17">
        <v>301</v>
      </c>
      <c r="AC127" s="17">
        <v>20.99</v>
      </c>
      <c r="AD127" s="17">
        <v>545.23</v>
      </c>
      <c r="AE127" s="17">
        <v>306</v>
      </c>
      <c r="AF127" s="17">
        <v>16.489999999999998</v>
      </c>
      <c r="AG127" s="17">
        <v>159</v>
      </c>
      <c r="AH127" s="17">
        <v>64</v>
      </c>
      <c r="AI127" s="17">
        <v>50.782497599999999</v>
      </c>
      <c r="AJ127" s="17">
        <v>21.828103680000002</v>
      </c>
      <c r="AK127" s="17">
        <v>-28.954394000000001</v>
      </c>
      <c r="AL127" s="17">
        <v>71.56</v>
      </c>
      <c r="AM127" s="17">
        <v>3131</v>
      </c>
      <c r="AN127" s="17">
        <v>3014</v>
      </c>
      <c r="AO127" s="17">
        <v>2978</v>
      </c>
      <c r="AP127" s="17">
        <v>2951</v>
      </c>
      <c r="AQ127" s="17">
        <v>2932</v>
      </c>
    </row>
    <row r="128" spans="1:43" ht="16" x14ac:dyDescent="0.2">
      <c r="A128" s="17">
        <v>1307</v>
      </c>
      <c r="B128" s="17" t="s">
        <v>140</v>
      </c>
      <c r="C128" s="17">
        <v>0.83</v>
      </c>
      <c r="D128" s="17">
        <v>0.23</v>
      </c>
      <c r="E128" s="17">
        <v>0.6</v>
      </c>
      <c r="F128" s="17">
        <v>23.7</v>
      </c>
      <c r="G128" s="17">
        <v>19.600000000000001</v>
      </c>
      <c r="H128" s="17">
        <v>4.0999999999999996</v>
      </c>
      <c r="I128" s="17">
        <v>9.3000000000000007</v>
      </c>
      <c r="J128" s="17">
        <v>73.540000000000006</v>
      </c>
      <c r="K128" s="17">
        <v>10.85</v>
      </c>
      <c r="L128" s="17">
        <v>174.8</v>
      </c>
      <c r="M128" s="17">
        <v>16.02</v>
      </c>
      <c r="N128" s="17">
        <v>0.44</v>
      </c>
      <c r="O128" s="17">
        <v>15.58</v>
      </c>
      <c r="P128" s="17">
        <v>1.24</v>
      </c>
      <c r="Q128" s="17">
        <v>2.41</v>
      </c>
      <c r="R128" s="17">
        <v>-1.17</v>
      </c>
      <c r="S128" s="17">
        <v>66.22</v>
      </c>
      <c r="T128" s="17">
        <v>54.23</v>
      </c>
      <c r="U128" s="17">
        <v>11.99</v>
      </c>
      <c r="V128" s="17">
        <v>38.200000000000003</v>
      </c>
      <c r="W128" s="17">
        <v>38.799999999999997</v>
      </c>
      <c r="X128" s="17">
        <v>285.17</v>
      </c>
      <c r="Y128" s="17">
        <v>4827</v>
      </c>
      <c r="Z128" s="17">
        <v>43.65</v>
      </c>
      <c r="AA128" s="17">
        <v>269.02999999999997</v>
      </c>
      <c r="AB128" s="17">
        <v>4579</v>
      </c>
      <c r="AC128" s="17">
        <v>43.63</v>
      </c>
      <c r="AD128" s="17">
        <v>260.49</v>
      </c>
      <c r="AE128" s="17">
        <v>4376</v>
      </c>
      <c r="AF128" s="17">
        <v>48.63</v>
      </c>
      <c r="AG128" s="17">
        <v>2740</v>
      </c>
      <c r="AH128" s="17">
        <v>1609</v>
      </c>
      <c r="AI128" s="17">
        <v>54.282148309999997</v>
      </c>
      <c r="AJ128" s="17">
        <v>32.531338460000001</v>
      </c>
      <c r="AK128" s="17">
        <v>-21.750810000000001</v>
      </c>
      <c r="AL128" s="17">
        <v>75.5</v>
      </c>
      <c r="AM128" s="17">
        <v>50477</v>
      </c>
      <c r="AN128" s="17">
        <v>49554</v>
      </c>
      <c r="AO128" s="17">
        <v>49725</v>
      </c>
      <c r="AP128" s="17">
        <v>49549</v>
      </c>
      <c r="AQ128" s="17">
        <v>49460</v>
      </c>
    </row>
    <row r="129" spans="1:43" ht="16" x14ac:dyDescent="0.2">
      <c r="A129" s="17">
        <v>1010</v>
      </c>
      <c r="B129" s="17" t="s">
        <v>141</v>
      </c>
      <c r="C129" s="17">
        <v>3.64</v>
      </c>
      <c r="D129" s="17">
        <v>1.08</v>
      </c>
      <c r="E129" s="17">
        <v>2.56</v>
      </c>
      <c r="F129" s="17">
        <v>30.1</v>
      </c>
      <c r="G129" s="17">
        <v>33.4</v>
      </c>
      <c r="H129" s="17">
        <v>-3.3</v>
      </c>
      <c r="I129" s="17">
        <v>6.47</v>
      </c>
      <c r="J129" s="17">
        <v>94.89</v>
      </c>
      <c r="K129" s="17">
        <v>16.82</v>
      </c>
      <c r="L129" s="17">
        <v>190.1</v>
      </c>
      <c r="M129" s="17">
        <v>20.05</v>
      </c>
      <c r="N129" s="17">
        <v>1.43</v>
      </c>
      <c r="O129" s="17">
        <v>18.62</v>
      </c>
      <c r="P129" s="17">
        <v>7.8</v>
      </c>
      <c r="Q129" s="17">
        <v>13.96</v>
      </c>
      <c r="R129" s="17">
        <v>-6.16</v>
      </c>
      <c r="S129" s="17">
        <v>65.08</v>
      </c>
      <c r="T129" s="17">
        <v>53.17</v>
      </c>
      <c r="U129" s="17">
        <v>11.91</v>
      </c>
      <c r="V129" s="17">
        <v>37.1</v>
      </c>
      <c r="W129" s="17">
        <v>37.1</v>
      </c>
      <c r="X129" s="17">
        <v>376.77</v>
      </c>
      <c r="Y129" s="17">
        <v>4913</v>
      </c>
      <c r="Z129" s="17">
        <v>26.55</v>
      </c>
      <c r="AA129" s="17">
        <v>388.34</v>
      </c>
      <c r="AB129" s="17">
        <v>4595</v>
      </c>
      <c r="AC129" s="17">
        <v>21.01</v>
      </c>
      <c r="AD129" s="17">
        <v>386.91</v>
      </c>
      <c r="AE129" s="17">
        <v>4611</v>
      </c>
      <c r="AF129" s="17">
        <v>19.61</v>
      </c>
      <c r="AG129" s="17">
        <v>1605</v>
      </c>
      <c r="AH129" s="17">
        <v>1797</v>
      </c>
      <c r="AI129" s="17">
        <v>41.763159950000002</v>
      </c>
      <c r="AJ129" s="17">
        <v>44.768310909999997</v>
      </c>
      <c r="AK129" s="17">
        <v>3.0051510000000001</v>
      </c>
      <c r="AL129" s="17">
        <v>92.69</v>
      </c>
      <c r="AM129" s="17">
        <v>38431</v>
      </c>
      <c r="AN129" s="17">
        <v>38832</v>
      </c>
      <c r="AO129" s="17">
        <v>39216</v>
      </c>
      <c r="AP129" s="17">
        <v>39648</v>
      </c>
      <c r="AQ129" s="17">
        <v>40140</v>
      </c>
    </row>
    <row r="130" spans="1:43" ht="16" x14ac:dyDescent="0.2">
      <c r="A130" s="17">
        <v>1210</v>
      </c>
      <c r="B130" s="17" t="s">
        <v>142</v>
      </c>
      <c r="C130" s="17">
        <v>1.35</v>
      </c>
      <c r="D130" s="17">
        <v>0.45</v>
      </c>
      <c r="E130" s="17">
        <v>0.9</v>
      </c>
      <c r="F130" s="17">
        <v>20.5</v>
      </c>
      <c r="G130" s="17">
        <v>30.4</v>
      </c>
      <c r="H130" s="17">
        <v>-9.9</v>
      </c>
      <c r="I130" s="17">
        <v>5.67</v>
      </c>
      <c r="J130" s="17">
        <v>66.59</v>
      </c>
      <c r="K130" s="17">
        <v>13.23</v>
      </c>
      <c r="L130" s="17">
        <v>331.7</v>
      </c>
      <c r="M130" s="17">
        <v>17.07</v>
      </c>
      <c r="N130" s="17">
        <v>1.42</v>
      </c>
      <c r="O130" s="17">
        <v>15.65</v>
      </c>
      <c r="P130" s="17">
        <v>1.82</v>
      </c>
      <c r="Q130" s="17">
        <v>3.73</v>
      </c>
      <c r="R130" s="17">
        <v>-1.91</v>
      </c>
      <c r="S130" s="17">
        <v>64.959999999999994</v>
      </c>
      <c r="T130" s="17">
        <v>56.2</v>
      </c>
      <c r="U130" s="17">
        <v>8.76</v>
      </c>
      <c r="V130" s="17">
        <v>35.299999999999997</v>
      </c>
      <c r="W130" s="17">
        <v>35.5</v>
      </c>
      <c r="X130" s="17">
        <v>465.57</v>
      </c>
      <c r="Y130" s="17">
        <v>497</v>
      </c>
      <c r="Z130" s="17">
        <v>23.93</v>
      </c>
      <c r="AA130" s="17">
        <v>498.88</v>
      </c>
      <c r="AB130" s="17">
        <v>476</v>
      </c>
      <c r="AC130" s="17">
        <v>24.01</v>
      </c>
      <c r="AD130" s="17">
        <v>508.96</v>
      </c>
      <c r="AE130" s="17">
        <v>462</v>
      </c>
      <c r="AF130" s="17">
        <v>21.4</v>
      </c>
      <c r="AG130" s="17">
        <v>118</v>
      </c>
      <c r="AH130" s="17">
        <v>56</v>
      </c>
      <c r="AI130" s="17">
        <v>36.680136769999997</v>
      </c>
      <c r="AJ130" s="17">
        <v>18.43924926</v>
      </c>
      <c r="AK130" s="17">
        <v>-18.240888000000002</v>
      </c>
      <c r="AL130" s="17">
        <v>69.31</v>
      </c>
      <c r="AM130" s="17">
        <v>3217</v>
      </c>
      <c r="AN130" s="17">
        <v>3061</v>
      </c>
      <c r="AO130" s="17">
        <v>3049</v>
      </c>
      <c r="AP130" s="17">
        <v>3069</v>
      </c>
      <c r="AQ130" s="17">
        <v>3037</v>
      </c>
    </row>
    <row r="131" spans="1:43" ht="16" x14ac:dyDescent="0.2">
      <c r="A131" s="17">
        <v>1308</v>
      </c>
      <c r="B131" s="17" t="s">
        <v>143</v>
      </c>
      <c r="C131" s="17">
        <v>1.95</v>
      </c>
      <c r="D131" s="17">
        <v>0.86</v>
      </c>
      <c r="E131" s="17">
        <v>1.0900000000000001</v>
      </c>
      <c r="F131" s="17">
        <v>28.7</v>
      </c>
      <c r="G131" s="17">
        <v>33.700000000000003</v>
      </c>
      <c r="H131" s="17">
        <v>-5</v>
      </c>
      <c r="I131" s="17">
        <v>10.02</v>
      </c>
      <c r="J131" s="17">
        <v>130.63</v>
      </c>
      <c r="K131" s="17">
        <v>26.34</v>
      </c>
      <c r="L131" s="17">
        <v>203.4</v>
      </c>
      <c r="M131" s="17">
        <v>13.61</v>
      </c>
      <c r="N131" s="17">
        <v>0.67</v>
      </c>
      <c r="O131" s="17">
        <v>12.94</v>
      </c>
      <c r="P131" s="17">
        <v>2.59</v>
      </c>
      <c r="Q131" s="17">
        <v>5.34</v>
      </c>
      <c r="R131" s="17">
        <v>-2.75</v>
      </c>
      <c r="S131" s="17">
        <v>70.77</v>
      </c>
      <c r="T131" s="17">
        <v>59.64</v>
      </c>
      <c r="U131" s="17">
        <v>11.13</v>
      </c>
      <c r="V131" s="17">
        <v>41.4</v>
      </c>
      <c r="W131" s="17">
        <v>41.8</v>
      </c>
      <c r="X131" s="17">
        <v>336.12</v>
      </c>
      <c r="Y131" s="17">
        <v>23152</v>
      </c>
      <c r="Z131" s="17">
        <v>36.840000000000003</v>
      </c>
      <c r="AA131" s="17">
        <v>337.62</v>
      </c>
      <c r="AB131" s="17">
        <v>21771</v>
      </c>
      <c r="AC131" s="17">
        <v>38.92</v>
      </c>
      <c r="AD131" s="17">
        <v>331.7</v>
      </c>
      <c r="AE131" s="17">
        <v>21498</v>
      </c>
      <c r="AF131" s="17">
        <v>44.09</v>
      </c>
      <c r="AG131" s="17">
        <v>9239</v>
      </c>
      <c r="AH131" s="17">
        <v>6449</v>
      </c>
      <c r="AI131" s="17">
        <v>53.256859579999997</v>
      </c>
      <c r="AJ131" s="17">
        <v>36.4056158</v>
      </c>
      <c r="AK131" s="17">
        <v>-16.851244000000001</v>
      </c>
      <c r="AL131" s="17">
        <v>118.06</v>
      </c>
      <c r="AM131" s="17">
        <v>173480</v>
      </c>
      <c r="AN131" s="17">
        <v>174302</v>
      </c>
      <c r="AO131" s="17">
        <v>173241</v>
      </c>
      <c r="AP131" s="17">
        <v>174644</v>
      </c>
      <c r="AQ131" s="17">
        <v>177143</v>
      </c>
    </row>
    <row r="132" spans="1:43" ht="16" x14ac:dyDescent="0.2">
      <c r="A132" s="17">
        <v>111</v>
      </c>
      <c r="B132" s="17" t="s">
        <v>144</v>
      </c>
      <c r="C132" s="17">
        <v>1.18</v>
      </c>
      <c r="D132" s="17">
        <v>0.26</v>
      </c>
      <c r="E132" s="17">
        <v>0.92</v>
      </c>
      <c r="F132" s="17">
        <v>25</v>
      </c>
      <c r="G132" s="17">
        <v>23.5</v>
      </c>
      <c r="H132" s="17">
        <v>1.5</v>
      </c>
      <c r="I132" s="17">
        <v>4.8099999999999996</v>
      </c>
      <c r="J132" s="17">
        <v>86.77</v>
      </c>
      <c r="K132" s="17">
        <v>18.5</v>
      </c>
      <c r="L132" s="17">
        <v>253.3</v>
      </c>
      <c r="M132" s="17">
        <v>16.510000000000002</v>
      </c>
      <c r="N132" s="17">
        <v>0.93</v>
      </c>
      <c r="O132" s="17">
        <v>15.58</v>
      </c>
      <c r="P132" s="17">
        <v>2.33</v>
      </c>
      <c r="Q132" s="17">
        <v>5.15</v>
      </c>
      <c r="R132" s="17">
        <v>-2.82</v>
      </c>
      <c r="S132" s="17">
        <v>63.41</v>
      </c>
      <c r="T132" s="17">
        <v>50.91</v>
      </c>
      <c r="U132" s="17">
        <v>12.5</v>
      </c>
      <c r="V132" s="17">
        <v>37.299999999999997</v>
      </c>
      <c r="W132" s="17">
        <v>37.299999999999997</v>
      </c>
      <c r="X132" s="17">
        <v>368.28</v>
      </c>
      <c r="Y132" s="17">
        <v>2505</v>
      </c>
      <c r="Z132" s="17">
        <v>11.65</v>
      </c>
      <c r="AA132" s="17">
        <v>362.17</v>
      </c>
      <c r="AB132" s="17">
        <v>2424</v>
      </c>
      <c r="AC132" s="17">
        <v>8.52</v>
      </c>
      <c r="AD132" s="17">
        <v>365.71</v>
      </c>
      <c r="AE132" s="17">
        <v>2460</v>
      </c>
      <c r="AF132" s="17">
        <v>8.16</v>
      </c>
      <c r="AG132" s="17">
        <v>741</v>
      </c>
      <c r="AH132" s="17">
        <v>540</v>
      </c>
      <c r="AI132" s="17">
        <v>37.706085889999997</v>
      </c>
      <c r="AJ132" s="17">
        <v>27.518728020000001</v>
      </c>
      <c r="AK132" s="17">
        <v>-10.187358</v>
      </c>
      <c r="AL132" s="17">
        <v>88.79</v>
      </c>
      <c r="AM132" s="17">
        <v>19652</v>
      </c>
      <c r="AN132" s="17">
        <v>19389</v>
      </c>
      <c r="AO132" s="17">
        <v>19429</v>
      </c>
      <c r="AP132" s="17">
        <v>19544</v>
      </c>
      <c r="AQ132" s="17">
        <v>19623</v>
      </c>
    </row>
    <row r="133" spans="1:43" ht="16" x14ac:dyDescent="0.2">
      <c r="A133" s="17">
        <v>909</v>
      </c>
      <c r="B133" s="17" t="s">
        <v>145</v>
      </c>
      <c r="C133" s="17">
        <v>0.44</v>
      </c>
      <c r="D133" s="17">
        <v>0.3</v>
      </c>
      <c r="E133" s="17">
        <v>0.14000000000000001</v>
      </c>
      <c r="F133" s="17">
        <v>24.6</v>
      </c>
      <c r="G133" s="17">
        <v>24.5</v>
      </c>
      <c r="H133" s="17">
        <v>0.1</v>
      </c>
      <c r="I133" s="17">
        <v>5.66</v>
      </c>
      <c r="J133" s="17">
        <v>62.95</v>
      </c>
      <c r="K133" s="17">
        <v>11.03</v>
      </c>
      <c r="L133" s="17">
        <v>498.9</v>
      </c>
      <c r="M133" s="17">
        <v>16.100000000000001</v>
      </c>
      <c r="N133" s="17">
        <v>0.97</v>
      </c>
      <c r="O133" s="17">
        <v>15.13</v>
      </c>
      <c r="P133" s="17">
        <v>1.23</v>
      </c>
      <c r="Q133" s="17">
        <v>2.0299999999999998</v>
      </c>
      <c r="R133" s="17">
        <v>-0.8</v>
      </c>
      <c r="S133" s="17">
        <v>55.31</v>
      </c>
      <c r="T133" s="17">
        <v>46.42</v>
      </c>
      <c r="U133" s="17">
        <v>8.89</v>
      </c>
      <c r="V133" s="17">
        <v>36.700000000000003</v>
      </c>
      <c r="W133" s="17">
        <v>37</v>
      </c>
      <c r="X133" s="17">
        <v>443.67</v>
      </c>
      <c r="Y133" s="17">
        <v>823</v>
      </c>
      <c r="Z133" s="17">
        <v>22.36</v>
      </c>
      <c r="AA133" s="17">
        <v>450.93</v>
      </c>
      <c r="AB133" s="17">
        <v>827</v>
      </c>
      <c r="AC133" s="17">
        <v>20.02</v>
      </c>
      <c r="AD133" s="17">
        <v>456.84</v>
      </c>
      <c r="AE133" s="17">
        <v>854</v>
      </c>
      <c r="AF133" s="17">
        <v>15.22</v>
      </c>
      <c r="AG133" s="17">
        <v>95</v>
      </c>
      <c r="AH133" s="17">
        <v>49</v>
      </c>
      <c r="AI133" s="17">
        <v>20.131383769999999</v>
      </c>
      <c r="AJ133" s="17">
        <v>10.708041959999999</v>
      </c>
      <c r="AK133" s="17">
        <v>-9.4233417999999993</v>
      </c>
      <c r="AL133" s="17">
        <v>68</v>
      </c>
      <c r="AM133" s="17">
        <v>4719</v>
      </c>
      <c r="AN133" s="17">
        <v>4620</v>
      </c>
      <c r="AO133" s="17">
        <v>4618</v>
      </c>
      <c r="AP133" s="17">
        <v>4610</v>
      </c>
      <c r="AQ133" s="17">
        <v>4576</v>
      </c>
    </row>
    <row r="134" spans="1:43" ht="16" x14ac:dyDescent="0.2">
      <c r="A134" s="17">
        <v>1603</v>
      </c>
      <c r="B134" s="17" t="s">
        <v>146</v>
      </c>
      <c r="C134" s="17">
        <v>0.8</v>
      </c>
      <c r="D134" s="17">
        <v>0.27</v>
      </c>
      <c r="E134" s="17">
        <v>0.53</v>
      </c>
      <c r="F134" s="17">
        <v>41.9</v>
      </c>
      <c r="G134" s="17">
        <v>25.9</v>
      </c>
      <c r="H134" s="17">
        <v>16</v>
      </c>
      <c r="I134" s="17">
        <v>4.5999999999999996</v>
      </c>
      <c r="J134" s="17">
        <v>62.09</v>
      </c>
      <c r="K134" s="17">
        <v>9.9600000000000009</v>
      </c>
      <c r="L134" s="17">
        <v>612.6</v>
      </c>
      <c r="M134" s="17">
        <v>15.18</v>
      </c>
      <c r="N134" s="17">
        <v>0.51</v>
      </c>
      <c r="O134" s="17">
        <v>14.67</v>
      </c>
      <c r="P134" s="17">
        <v>0.87</v>
      </c>
      <c r="Q134" s="17">
        <v>1.43</v>
      </c>
      <c r="R134" s="17">
        <v>-0.56000000000000005</v>
      </c>
      <c r="S134" s="17">
        <v>40.590000000000003</v>
      </c>
      <c r="T134" s="17">
        <v>33.770000000000003</v>
      </c>
      <c r="U134" s="17">
        <v>6.82</v>
      </c>
      <c r="V134" s="17">
        <v>36.6</v>
      </c>
      <c r="W134" s="17">
        <v>37.299999999999997</v>
      </c>
      <c r="X134" s="17">
        <v>339.44</v>
      </c>
      <c r="Y134" s="17">
        <v>1253</v>
      </c>
      <c r="Z134" s="17">
        <v>9.0500000000000007</v>
      </c>
      <c r="AA134" s="17">
        <v>333.47</v>
      </c>
      <c r="AB134" s="17">
        <v>1256</v>
      </c>
      <c r="AC134" s="17">
        <v>8.5</v>
      </c>
      <c r="AD134" s="17">
        <v>335.97</v>
      </c>
      <c r="AE134" s="17">
        <v>1294</v>
      </c>
      <c r="AF134" s="17">
        <v>9.1</v>
      </c>
      <c r="AG134" s="17">
        <v>119</v>
      </c>
      <c r="AH134" s="17">
        <v>72</v>
      </c>
      <c r="AI134" s="17">
        <v>14.236152649999999</v>
      </c>
      <c r="AJ134" s="17">
        <v>9.4550229810000008</v>
      </c>
      <c r="AK134" s="17">
        <v>-4.7811297000000001</v>
      </c>
      <c r="AL134" s="17">
        <v>64.010000000000005</v>
      </c>
      <c r="AM134" s="17">
        <v>8359</v>
      </c>
      <c r="AN134" s="17">
        <v>7984</v>
      </c>
      <c r="AO134" s="17">
        <v>7817</v>
      </c>
      <c r="AP134" s="17">
        <v>7693</v>
      </c>
      <c r="AQ134" s="17">
        <v>7615</v>
      </c>
    </row>
    <row r="135" spans="1:43" ht="16" x14ac:dyDescent="0.2">
      <c r="A135" s="17">
        <v>209</v>
      </c>
      <c r="B135" s="17" t="s">
        <v>147</v>
      </c>
      <c r="C135" s="17">
        <v>1.46</v>
      </c>
      <c r="D135" s="17">
        <v>0.38</v>
      </c>
      <c r="E135" s="17">
        <v>1.08</v>
      </c>
      <c r="F135" s="17">
        <v>22.6</v>
      </c>
      <c r="G135" s="17">
        <v>22.5</v>
      </c>
      <c r="H135" s="17">
        <v>0.1</v>
      </c>
      <c r="I135" s="17">
        <v>6.67</v>
      </c>
      <c r="J135" s="17">
        <v>68.69</v>
      </c>
      <c r="K135" s="17">
        <v>9.39</v>
      </c>
      <c r="L135" s="17">
        <v>430.7</v>
      </c>
      <c r="M135" s="17">
        <v>15.29</v>
      </c>
      <c r="N135" s="17">
        <v>0.6</v>
      </c>
      <c r="O135" s="17">
        <v>14.69</v>
      </c>
      <c r="P135" s="17">
        <v>21</v>
      </c>
      <c r="Q135" s="17">
        <v>27.08</v>
      </c>
      <c r="R135" s="17">
        <v>-6.08</v>
      </c>
      <c r="S135" s="17">
        <v>64.739999999999995</v>
      </c>
      <c r="T135" s="17">
        <v>55.47</v>
      </c>
      <c r="U135" s="17">
        <v>9.27</v>
      </c>
      <c r="V135" s="17">
        <v>34.4</v>
      </c>
      <c r="W135" s="17">
        <v>35.1</v>
      </c>
      <c r="X135" s="17">
        <v>507.53</v>
      </c>
      <c r="Y135" s="17">
        <v>847</v>
      </c>
      <c r="Z135" s="17">
        <v>27.65</v>
      </c>
      <c r="AA135" s="17">
        <v>531.29999999999995</v>
      </c>
      <c r="AB135" s="17">
        <v>810</v>
      </c>
      <c r="AC135" s="17">
        <v>27.91</v>
      </c>
      <c r="AD135" s="17">
        <v>535.20000000000005</v>
      </c>
      <c r="AE135" s="17">
        <v>803</v>
      </c>
      <c r="AF135" s="17">
        <v>27.6</v>
      </c>
      <c r="AG135" s="17">
        <v>274</v>
      </c>
      <c r="AH135" s="17">
        <v>179</v>
      </c>
      <c r="AI135" s="17">
        <v>42.186297150000001</v>
      </c>
      <c r="AJ135" s="17">
        <v>28.969088849999999</v>
      </c>
      <c r="AK135" s="17">
        <v>-13.217207999999999</v>
      </c>
      <c r="AL135" s="17">
        <v>68.89</v>
      </c>
      <c r="AM135" s="17">
        <v>6495</v>
      </c>
      <c r="AN135" s="17">
        <v>6308</v>
      </c>
      <c r="AO135" s="17">
        <v>6282</v>
      </c>
      <c r="AP135" s="17">
        <v>6249</v>
      </c>
      <c r="AQ135" s="17">
        <v>6179</v>
      </c>
    </row>
    <row r="136" spans="1:43" ht="16" x14ac:dyDescent="0.2">
      <c r="A136" s="17">
        <v>1704</v>
      </c>
      <c r="B136" s="17" t="s">
        <v>148</v>
      </c>
      <c r="C136" s="17">
        <v>0.14000000000000001</v>
      </c>
      <c r="D136" s="17">
        <v>0.11</v>
      </c>
      <c r="E136" s="17">
        <v>0.03</v>
      </c>
      <c r="F136" s="17">
        <v>27.8</v>
      </c>
      <c r="G136" s="17">
        <v>30.2</v>
      </c>
      <c r="H136" s="17">
        <v>-2.4</v>
      </c>
      <c r="I136" s="17">
        <v>8.3800000000000008</v>
      </c>
      <c r="J136" s="17">
        <v>68.569999999999993</v>
      </c>
      <c r="K136" s="17">
        <v>9.1300000000000008</v>
      </c>
      <c r="L136" s="17">
        <v>335.7</v>
      </c>
      <c r="M136" s="17">
        <v>16.12</v>
      </c>
      <c r="N136" s="17">
        <v>0.56000000000000005</v>
      </c>
      <c r="O136" s="17">
        <v>15.56</v>
      </c>
      <c r="P136" s="17">
        <v>1.23</v>
      </c>
      <c r="Q136" s="17">
        <v>1.85</v>
      </c>
      <c r="R136" s="17">
        <v>-0.62</v>
      </c>
      <c r="S136" s="17">
        <v>59.43</v>
      </c>
      <c r="T136" s="17">
        <v>47.45</v>
      </c>
      <c r="U136" s="17">
        <v>11.98</v>
      </c>
      <c r="V136" s="17">
        <v>37</v>
      </c>
      <c r="W136" s="17">
        <v>37.9</v>
      </c>
      <c r="X136" s="17">
        <v>402.57</v>
      </c>
      <c r="Y136" s="17">
        <v>617</v>
      </c>
      <c r="Z136" s="17">
        <v>50.04</v>
      </c>
      <c r="AA136" s="17">
        <v>355.44</v>
      </c>
      <c r="AB136" s="17">
        <v>626</v>
      </c>
      <c r="AC136" s="17">
        <v>49.91</v>
      </c>
      <c r="AD136" s="17">
        <v>363.46</v>
      </c>
      <c r="AE136" s="17">
        <v>646</v>
      </c>
      <c r="AF136" s="17">
        <v>52.83</v>
      </c>
      <c r="AG136" s="17">
        <v>152</v>
      </c>
      <c r="AH136" s="17">
        <v>69</v>
      </c>
      <c r="AI136" s="17">
        <v>39.449779390000003</v>
      </c>
      <c r="AJ136" s="17">
        <v>19.635742740000001</v>
      </c>
      <c r="AK136" s="17">
        <v>-19.814036999999999</v>
      </c>
      <c r="AL136" s="17">
        <v>69.09</v>
      </c>
      <c r="AM136" s="17">
        <v>3853</v>
      </c>
      <c r="AN136" s="17">
        <v>3580</v>
      </c>
      <c r="AO136" s="17">
        <v>3554</v>
      </c>
      <c r="AP136" s="17">
        <v>3537</v>
      </c>
      <c r="AQ136" s="17">
        <v>3514</v>
      </c>
    </row>
    <row r="137" spans="1:43" ht="16" x14ac:dyDescent="0.2">
      <c r="A137" s="17">
        <v>608</v>
      </c>
      <c r="B137" s="17" t="s">
        <v>149</v>
      </c>
      <c r="C137" s="17">
        <v>1.98</v>
      </c>
      <c r="D137" s="17">
        <v>0.55000000000000004</v>
      </c>
      <c r="E137" s="17">
        <v>1.43</v>
      </c>
      <c r="F137" s="17">
        <v>25.6</v>
      </c>
      <c r="G137" s="17">
        <v>31.5</v>
      </c>
      <c r="H137" s="17">
        <v>-5.9</v>
      </c>
      <c r="I137" s="17">
        <v>5.76</v>
      </c>
      <c r="J137" s="17">
        <v>72.95</v>
      </c>
      <c r="K137" s="17">
        <v>18.079999999999998</v>
      </c>
      <c r="L137" s="17">
        <v>269.10000000000002</v>
      </c>
      <c r="M137" s="17">
        <v>18.78</v>
      </c>
      <c r="N137" s="17">
        <v>0.78</v>
      </c>
      <c r="O137" s="17">
        <v>18</v>
      </c>
      <c r="P137" s="17">
        <v>1</v>
      </c>
      <c r="Q137" s="17">
        <v>1.79</v>
      </c>
      <c r="R137" s="17">
        <v>-0.79</v>
      </c>
      <c r="S137" s="17">
        <v>56.86</v>
      </c>
      <c r="T137" s="17">
        <v>46.39</v>
      </c>
      <c r="U137" s="17">
        <v>10.47</v>
      </c>
      <c r="V137" s="17">
        <v>38.200000000000003</v>
      </c>
      <c r="W137" s="17">
        <v>39.6</v>
      </c>
      <c r="X137" s="17">
        <v>357.26</v>
      </c>
      <c r="Y137" s="17">
        <v>1542</v>
      </c>
      <c r="Z137" s="17">
        <v>13.6</v>
      </c>
      <c r="AA137" s="17">
        <v>367.49</v>
      </c>
      <c r="AB137" s="17">
        <v>1463</v>
      </c>
      <c r="AC137" s="17">
        <v>16.04</v>
      </c>
      <c r="AD137" s="17">
        <v>360.75</v>
      </c>
      <c r="AE137" s="17">
        <v>1452</v>
      </c>
      <c r="AF137" s="17">
        <v>15.31</v>
      </c>
      <c r="AG137" s="17">
        <v>444</v>
      </c>
      <c r="AH137" s="17">
        <v>293</v>
      </c>
      <c r="AI137" s="17">
        <v>36.648782500000003</v>
      </c>
      <c r="AJ137" s="17">
        <v>23.838581080000001</v>
      </c>
      <c r="AK137" s="17">
        <v>-12.810200999999999</v>
      </c>
      <c r="AL137" s="17">
        <v>77.08</v>
      </c>
      <c r="AM137" s="17">
        <v>12115</v>
      </c>
      <c r="AN137" s="17">
        <v>12077</v>
      </c>
      <c r="AO137" s="17">
        <v>12186</v>
      </c>
      <c r="AP137" s="17">
        <v>12244</v>
      </c>
      <c r="AQ137" s="17">
        <v>12291</v>
      </c>
    </row>
    <row r="138" spans="1:43" ht="16" x14ac:dyDescent="0.2">
      <c r="A138" s="17">
        <v>609</v>
      </c>
      <c r="B138" s="17" t="s">
        <v>150</v>
      </c>
      <c r="C138" s="17">
        <v>1.26</v>
      </c>
      <c r="D138" s="17">
        <v>0.5</v>
      </c>
      <c r="E138" s="17">
        <v>0.76</v>
      </c>
      <c r="F138" s="17">
        <v>16.7</v>
      </c>
      <c r="G138" s="17">
        <v>15.9</v>
      </c>
      <c r="H138" s="17">
        <v>0.8</v>
      </c>
      <c r="I138" s="17">
        <v>5.37</v>
      </c>
      <c r="J138" s="17">
        <v>67.86</v>
      </c>
      <c r="K138" s="17">
        <v>14.51</v>
      </c>
      <c r="L138" s="17">
        <v>273</v>
      </c>
      <c r="M138" s="17">
        <v>14.55</v>
      </c>
      <c r="N138" s="17">
        <v>0.72</v>
      </c>
      <c r="O138" s="17">
        <v>13.83</v>
      </c>
      <c r="P138" s="17">
        <v>2.68</v>
      </c>
      <c r="Q138" s="17">
        <v>4.58</v>
      </c>
      <c r="R138" s="17">
        <v>-1.9</v>
      </c>
      <c r="S138" s="17">
        <v>64.7</v>
      </c>
      <c r="T138" s="17">
        <v>54.86</v>
      </c>
      <c r="U138" s="17">
        <v>9.84</v>
      </c>
      <c r="V138" s="17">
        <v>35.200000000000003</v>
      </c>
      <c r="W138" s="17">
        <v>35.799999999999997</v>
      </c>
      <c r="X138" s="17">
        <v>376.72</v>
      </c>
      <c r="Y138" s="17">
        <v>1405</v>
      </c>
      <c r="Z138" s="17">
        <v>16.23</v>
      </c>
      <c r="AA138" s="17">
        <v>356.74</v>
      </c>
      <c r="AB138" s="17">
        <v>1346</v>
      </c>
      <c r="AC138" s="17">
        <v>15.84</v>
      </c>
      <c r="AD138" s="17">
        <v>357.07</v>
      </c>
      <c r="AE138" s="17">
        <v>1331</v>
      </c>
      <c r="AF138" s="17">
        <v>18.68</v>
      </c>
      <c r="AG138" s="17">
        <v>469</v>
      </c>
      <c r="AH138" s="17">
        <v>248</v>
      </c>
      <c r="AI138" s="17">
        <v>37.586151630000003</v>
      </c>
      <c r="AJ138" s="17">
        <v>20.61341534</v>
      </c>
      <c r="AK138" s="17">
        <v>-16.972736000000001</v>
      </c>
      <c r="AL138" s="17">
        <v>73.709999999999994</v>
      </c>
      <c r="AM138" s="17">
        <v>12478</v>
      </c>
      <c r="AN138" s="17">
        <v>12100</v>
      </c>
      <c r="AO138" s="17">
        <v>12078</v>
      </c>
      <c r="AP138" s="17">
        <v>12070</v>
      </c>
      <c r="AQ138" s="17">
        <v>12031</v>
      </c>
    </row>
    <row r="139" spans="1:43" ht="16" x14ac:dyDescent="0.2">
      <c r="A139" s="17">
        <v>406</v>
      </c>
      <c r="B139" s="17" t="s">
        <v>151</v>
      </c>
      <c r="C139" s="17">
        <v>0.7</v>
      </c>
      <c r="D139" s="17">
        <v>0.2</v>
      </c>
      <c r="E139" s="17">
        <v>0.5</v>
      </c>
      <c r="F139" s="17">
        <v>30.1</v>
      </c>
      <c r="G139" s="17">
        <v>26.2</v>
      </c>
      <c r="H139" s="17">
        <v>3.9</v>
      </c>
      <c r="I139" s="17">
        <v>5.67</v>
      </c>
      <c r="J139" s="17">
        <v>72.88</v>
      </c>
      <c r="K139" s="17">
        <v>12.98</v>
      </c>
      <c r="L139" s="17">
        <v>502.2</v>
      </c>
      <c r="M139" s="17">
        <v>13.59</v>
      </c>
      <c r="N139" s="17">
        <v>0.78</v>
      </c>
      <c r="O139" s="17">
        <v>12.81</v>
      </c>
      <c r="P139" s="17">
        <v>0.4</v>
      </c>
      <c r="Q139" s="17">
        <v>1.05</v>
      </c>
      <c r="R139" s="17">
        <v>-0.65</v>
      </c>
      <c r="S139" s="17">
        <v>53.42</v>
      </c>
      <c r="T139" s="17">
        <v>44.88</v>
      </c>
      <c r="U139" s="17">
        <v>8.5399999999999991</v>
      </c>
      <c r="V139" s="17">
        <v>37.6</v>
      </c>
      <c r="W139" s="17">
        <v>38.5</v>
      </c>
      <c r="X139" s="17">
        <v>399.35</v>
      </c>
      <c r="Y139" s="17">
        <v>1163</v>
      </c>
      <c r="Z139" s="17">
        <v>21.47</v>
      </c>
      <c r="AA139" s="17">
        <v>386.86</v>
      </c>
      <c r="AB139" s="17">
        <v>1288</v>
      </c>
      <c r="AC139" s="17">
        <v>19.57</v>
      </c>
      <c r="AD139" s="17">
        <v>387.98</v>
      </c>
      <c r="AE139" s="17">
        <v>1297</v>
      </c>
      <c r="AF139" s="17">
        <v>19.62</v>
      </c>
      <c r="AG139" s="17">
        <v>137</v>
      </c>
      <c r="AH139" s="17">
        <v>73</v>
      </c>
      <c r="AI139" s="17">
        <v>20.123384250000001</v>
      </c>
      <c r="AJ139" s="17">
        <v>11.490634350000001</v>
      </c>
      <c r="AK139" s="17">
        <v>-8.6327499000000003</v>
      </c>
      <c r="AL139" s="17">
        <v>75.239999999999995</v>
      </c>
      <c r="AM139" s="17">
        <v>6808</v>
      </c>
      <c r="AN139" s="17">
        <v>6565</v>
      </c>
      <c r="AO139" s="17">
        <v>6511</v>
      </c>
      <c r="AP139" s="17">
        <v>6397</v>
      </c>
      <c r="AQ139" s="17">
        <v>6353</v>
      </c>
    </row>
    <row r="140" spans="1:43" ht="16" x14ac:dyDescent="0.2">
      <c r="A140" s="17">
        <v>407</v>
      </c>
      <c r="B140" s="17" t="s">
        <v>152</v>
      </c>
      <c r="C140" s="17">
        <v>1.37</v>
      </c>
      <c r="D140" s="17">
        <v>0.69</v>
      </c>
      <c r="E140" s="17">
        <v>0.68</v>
      </c>
      <c r="F140" s="17">
        <v>27.8</v>
      </c>
      <c r="G140" s="17">
        <v>24.8</v>
      </c>
      <c r="H140" s="17">
        <v>3</v>
      </c>
      <c r="I140" s="17">
        <v>9.36</v>
      </c>
      <c r="J140" s="17">
        <v>83.6</v>
      </c>
      <c r="K140" s="17">
        <v>17.260000000000002</v>
      </c>
      <c r="L140" s="17">
        <v>341.8</v>
      </c>
      <c r="M140" s="17">
        <v>22.58</v>
      </c>
      <c r="N140" s="17">
        <v>1.08</v>
      </c>
      <c r="O140" s="17">
        <v>21.5</v>
      </c>
      <c r="P140" s="17">
        <v>1.75</v>
      </c>
      <c r="Q140" s="17">
        <v>3.48</v>
      </c>
      <c r="R140" s="17">
        <v>-1.73</v>
      </c>
      <c r="S140" s="17">
        <v>57.62</v>
      </c>
      <c r="T140" s="17">
        <v>45.76</v>
      </c>
      <c r="U140" s="17">
        <v>11.86</v>
      </c>
      <c r="V140" s="17">
        <v>39.6</v>
      </c>
      <c r="W140" s="17">
        <v>40.299999999999997</v>
      </c>
      <c r="X140" s="17">
        <v>363.39</v>
      </c>
      <c r="Y140" s="17">
        <v>3615</v>
      </c>
      <c r="Z140" s="17">
        <v>30.44</v>
      </c>
      <c r="AA140" s="17">
        <v>359.7</v>
      </c>
      <c r="AB140" s="17">
        <v>3588</v>
      </c>
      <c r="AC140" s="17">
        <v>28.69</v>
      </c>
      <c r="AD140" s="17">
        <v>356.46</v>
      </c>
      <c r="AE140" s="17">
        <v>3457</v>
      </c>
      <c r="AF140" s="17">
        <v>28.62</v>
      </c>
      <c r="AG140" s="17">
        <v>832</v>
      </c>
      <c r="AH140" s="17">
        <v>517</v>
      </c>
      <c r="AI140" s="17">
        <v>37.316110510000001</v>
      </c>
      <c r="AJ140" s="17">
        <v>24.2483936</v>
      </c>
      <c r="AK140" s="17">
        <v>-13.067717</v>
      </c>
      <c r="AL140" s="17">
        <v>85.07</v>
      </c>
      <c r="AM140" s="17">
        <v>22296</v>
      </c>
      <c r="AN140" s="17">
        <v>21654</v>
      </c>
      <c r="AO140" s="17">
        <v>21497</v>
      </c>
      <c r="AP140" s="17">
        <v>21334</v>
      </c>
      <c r="AQ140" s="17">
        <v>21321</v>
      </c>
    </row>
    <row r="141" spans="1:43" ht="16" x14ac:dyDescent="0.2">
      <c r="A141" s="17">
        <v>408</v>
      </c>
      <c r="B141" s="17" t="s">
        <v>153</v>
      </c>
      <c r="C141" s="17">
        <v>0.34</v>
      </c>
      <c r="D141" s="17">
        <v>0.06</v>
      </c>
      <c r="E141" s="17">
        <v>0.28000000000000003</v>
      </c>
      <c r="F141" s="17">
        <v>14.4</v>
      </c>
      <c r="G141" s="17">
        <v>16.899999999999999</v>
      </c>
      <c r="H141" s="17">
        <v>-2.5</v>
      </c>
      <c r="I141" s="17">
        <v>7.68</v>
      </c>
      <c r="J141" s="17">
        <v>69.13</v>
      </c>
      <c r="K141" s="17">
        <v>13.68</v>
      </c>
      <c r="L141" s="17">
        <v>486.4</v>
      </c>
      <c r="M141" s="17">
        <v>21.7</v>
      </c>
      <c r="N141" s="17">
        <v>0.63</v>
      </c>
      <c r="O141" s="17">
        <v>21.07</v>
      </c>
      <c r="P141" s="17">
        <v>0.64</v>
      </c>
      <c r="Q141" s="17">
        <v>0.86</v>
      </c>
      <c r="R141" s="17">
        <v>-0.22</v>
      </c>
      <c r="S141" s="17">
        <v>54.97</v>
      </c>
      <c r="T141" s="17">
        <v>46.02</v>
      </c>
      <c r="U141" s="17">
        <v>8.9499999999999993</v>
      </c>
      <c r="V141" s="17">
        <v>38.6</v>
      </c>
      <c r="W141" s="17">
        <v>39.5</v>
      </c>
      <c r="X141" s="17">
        <v>416.51</v>
      </c>
      <c r="Y141" s="17">
        <v>1940</v>
      </c>
      <c r="Z141" s="17">
        <v>36.75</v>
      </c>
      <c r="AA141" s="17">
        <v>423.44</v>
      </c>
      <c r="AB141" s="17">
        <v>1926</v>
      </c>
      <c r="AC141" s="17">
        <v>32.6</v>
      </c>
      <c r="AD141" s="17">
        <v>427.79</v>
      </c>
      <c r="AE141" s="17">
        <v>1938</v>
      </c>
      <c r="AF141" s="17">
        <v>27.25</v>
      </c>
      <c r="AG141" s="17">
        <v>271</v>
      </c>
      <c r="AH141" s="17">
        <v>122</v>
      </c>
      <c r="AI141" s="17">
        <v>30.996225549999998</v>
      </c>
      <c r="AJ141" s="17">
        <v>14.76997579</v>
      </c>
      <c r="AK141" s="17">
        <v>-16.22625</v>
      </c>
      <c r="AL141" s="17">
        <v>70.47</v>
      </c>
      <c r="AM141" s="17">
        <v>8743</v>
      </c>
      <c r="AN141" s="17">
        <v>8483</v>
      </c>
      <c r="AO141" s="17">
        <v>8411</v>
      </c>
      <c r="AP141" s="17">
        <v>8294</v>
      </c>
      <c r="AQ141" s="17">
        <v>8260</v>
      </c>
    </row>
    <row r="142" spans="1:43" ht="16" x14ac:dyDescent="0.2">
      <c r="A142" s="17">
        <v>1807</v>
      </c>
      <c r="B142" s="17" t="s">
        <v>154</v>
      </c>
      <c r="C142" s="17">
        <v>1.31</v>
      </c>
      <c r="D142" s="17">
        <v>0.2</v>
      </c>
      <c r="E142" s="17">
        <v>1.1100000000000001</v>
      </c>
      <c r="F142" s="17">
        <v>30.1</v>
      </c>
      <c r="G142" s="17">
        <v>24.1</v>
      </c>
      <c r="H142" s="17">
        <v>6</v>
      </c>
      <c r="I142" s="17">
        <v>7.73</v>
      </c>
      <c r="J142" s="17">
        <v>66.03</v>
      </c>
      <c r="K142" s="17">
        <v>12.87</v>
      </c>
      <c r="L142" s="17">
        <v>276.5</v>
      </c>
      <c r="M142" s="17">
        <v>20.72</v>
      </c>
      <c r="N142" s="17">
        <v>0.82</v>
      </c>
      <c r="O142" s="17">
        <v>19.899999999999999</v>
      </c>
      <c r="P142" s="17">
        <v>1.38</v>
      </c>
      <c r="Q142" s="17">
        <v>2.4</v>
      </c>
      <c r="R142" s="17">
        <v>-1.02</v>
      </c>
      <c r="S142" s="17">
        <v>57.56</v>
      </c>
      <c r="T142" s="17">
        <v>44.5</v>
      </c>
      <c r="U142" s="17">
        <v>13.06</v>
      </c>
      <c r="V142" s="17">
        <v>38.4</v>
      </c>
      <c r="W142" s="17">
        <v>39.1</v>
      </c>
      <c r="X142" s="17">
        <v>367.01</v>
      </c>
      <c r="Y142" s="17">
        <v>1372</v>
      </c>
      <c r="Z142" s="17">
        <v>68.83</v>
      </c>
      <c r="AA142" s="17">
        <v>355.42</v>
      </c>
      <c r="AB142" s="17">
        <v>1318</v>
      </c>
      <c r="AC142" s="17">
        <v>60.58</v>
      </c>
      <c r="AD142" s="17">
        <v>349.48</v>
      </c>
      <c r="AE142" s="17">
        <v>1372</v>
      </c>
      <c r="AF142" s="17">
        <v>62.81</v>
      </c>
      <c r="AG142" s="17">
        <v>278</v>
      </c>
      <c r="AH142" s="17">
        <v>225</v>
      </c>
      <c r="AI142" s="17">
        <v>29.247764329999999</v>
      </c>
      <c r="AJ142" s="17">
        <v>23.398502499999999</v>
      </c>
      <c r="AK142" s="17">
        <v>-5.8492617999999998</v>
      </c>
      <c r="AL142" s="17">
        <v>72.760000000000005</v>
      </c>
      <c r="AM142" s="17">
        <v>9505</v>
      </c>
      <c r="AN142" s="17">
        <v>9373</v>
      </c>
      <c r="AO142" s="17">
        <v>9456</v>
      </c>
      <c r="AP142" s="17">
        <v>9498</v>
      </c>
      <c r="AQ142" s="17">
        <v>9616</v>
      </c>
    </row>
    <row r="143" spans="1:43" ht="16" x14ac:dyDescent="0.2">
      <c r="A143" s="17">
        <v>1506</v>
      </c>
      <c r="B143" s="17" t="s">
        <v>155</v>
      </c>
      <c r="C143" s="17">
        <v>4.5</v>
      </c>
      <c r="D143" s="17">
        <v>0.93</v>
      </c>
      <c r="E143" s="17">
        <v>3.57</v>
      </c>
      <c r="F143" s="17">
        <v>34.1</v>
      </c>
      <c r="G143" s="17">
        <v>29.4</v>
      </c>
      <c r="H143" s="17">
        <v>4.7</v>
      </c>
      <c r="I143" s="17">
        <v>12.05</v>
      </c>
      <c r="J143" s="17">
        <v>83.37</v>
      </c>
      <c r="K143" s="17">
        <v>14.28</v>
      </c>
      <c r="L143" s="17">
        <v>150</v>
      </c>
      <c r="M143" s="17">
        <v>22.8</v>
      </c>
      <c r="N143" s="17">
        <v>2</v>
      </c>
      <c r="O143" s="17">
        <v>20.8</v>
      </c>
      <c r="P143" s="17">
        <v>11.22</v>
      </c>
      <c r="Q143" s="17">
        <v>22.77</v>
      </c>
      <c r="R143" s="17">
        <v>-11.55</v>
      </c>
      <c r="S143" s="17">
        <v>63.45</v>
      </c>
      <c r="T143" s="17">
        <v>51.55</v>
      </c>
      <c r="U143" s="17">
        <v>11.9</v>
      </c>
      <c r="V143" s="17">
        <v>37.4</v>
      </c>
      <c r="W143" s="17">
        <v>36.9</v>
      </c>
      <c r="X143" s="17">
        <v>337.91</v>
      </c>
      <c r="Y143" s="17">
        <v>5460</v>
      </c>
      <c r="Z143" s="17">
        <v>52.05</v>
      </c>
      <c r="AA143" s="17">
        <v>361.22</v>
      </c>
      <c r="AB143" s="17">
        <v>4972</v>
      </c>
      <c r="AC143" s="17">
        <v>58.33</v>
      </c>
      <c r="AD143" s="17">
        <v>360.04</v>
      </c>
      <c r="AE143" s="17">
        <v>4815</v>
      </c>
      <c r="AF143" s="17">
        <v>59.31</v>
      </c>
      <c r="AG143" s="17">
        <v>3713</v>
      </c>
      <c r="AH143" s="17">
        <v>2872</v>
      </c>
      <c r="AI143" s="17">
        <v>57.016062159999997</v>
      </c>
      <c r="AJ143" s="17">
        <v>42.329290039999997</v>
      </c>
      <c r="AK143" s="17">
        <v>-14.686771999999999</v>
      </c>
      <c r="AL143" s="17">
        <v>82.3</v>
      </c>
      <c r="AM143" s="17">
        <v>65122</v>
      </c>
      <c r="AN143" s="17">
        <v>65440</v>
      </c>
      <c r="AO143" s="17">
        <v>66693</v>
      </c>
      <c r="AP143" s="17">
        <v>67026</v>
      </c>
      <c r="AQ143" s="17">
        <v>67849</v>
      </c>
    </row>
    <row r="144" spans="1:43" ht="16" x14ac:dyDescent="0.2">
      <c r="A144" s="17">
        <v>1604</v>
      </c>
      <c r="B144" s="17" t="s">
        <v>156</v>
      </c>
      <c r="C144" s="17">
        <v>2.5099999999999998</v>
      </c>
      <c r="D144" s="17">
        <v>0.74</v>
      </c>
      <c r="E144" s="17">
        <v>1.77</v>
      </c>
      <c r="F144" s="17">
        <v>18.3</v>
      </c>
      <c r="G144" s="17">
        <v>18.3</v>
      </c>
      <c r="H144" s="17">
        <v>0</v>
      </c>
      <c r="I144" s="17">
        <v>5.35</v>
      </c>
      <c r="J144" s="17">
        <v>71.3</v>
      </c>
      <c r="K144" s="17">
        <v>13.22</v>
      </c>
      <c r="L144" s="17">
        <v>366.1</v>
      </c>
      <c r="M144" s="17">
        <v>19.71</v>
      </c>
      <c r="N144" s="17">
        <v>0.75</v>
      </c>
      <c r="O144" s="17">
        <v>18.96</v>
      </c>
      <c r="P144" s="17">
        <v>1</v>
      </c>
      <c r="Q144" s="17">
        <v>1.49</v>
      </c>
      <c r="R144" s="17">
        <v>-0.49</v>
      </c>
      <c r="S144" s="17">
        <v>53.34</v>
      </c>
      <c r="T144" s="17">
        <v>42.88</v>
      </c>
      <c r="U144" s="17">
        <v>10.46</v>
      </c>
      <c r="V144" s="17">
        <v>37.4</v>
      </c>
      <c r="W144" s="17">
        <v>38.700000000000003</v>
      </c>
      <c r="X144" s="17">
        <v>374.77</v>
      </c>
      <c r="Y144" s="17">
        <v>3225</v>
      </c>
      <c r="Z144" s="17">
        <v>8.81</v>
      </c>
      <c r="AA144" s="17">
        <v>377.06</v>
      </c>
      <c r="AB144" s="17">
        <v>3106</v>
      </c>
      <c r="AC144" s="17">
        <v>9.3800000000000008</v>
      </c>
      <c r="AD144" s="17">
        <v>375.17</v>
      </c>
      <c r="AE144" s="17">
        <v>3110</v>
      </c>
      <c r="AF144" s="17">
        <v>10.82</v>
      </c>
      <c r="AG144" s="17">
        <v>435</v>
      </c>
      <c r="AH144" s="17">
        <v>344</v>
      </c>
      <c r="AI144" s="17">
        <v>24.00794746</v>
      </c>
      <c r="AJ144" s="17">
        <v>19.201786210000002</v>
      </c>
      <c r="AK144" s="17">
        <v>-4.8061612</v>
      </c>
      <c r="AL144" s="17">
        <v>75.06</v>
      </c>
      <c r="AM144" s="17">
        <v>18119</v>
      </c>
      <c r="AN144" s="17">
        <v>17880</v>
      </c>
      <c r="AO144" s="17">
        <v>17938</v>
      </c>
      <c r="AP144" s="17">
        <v>17858</v>
      </c>
      <c r="AQ144" s="17">
        <v>17915</v>
      </c>
    </row>
    <row r="145" spans="1:43" ht="16" x14ac:dyDescent="0.2">
      <c r="A145" s="17">
        <v>809</v>
      </c>
      <c r="B145" s="17" t="s">
        <v>157</v>
      </c>
      <c r="C145" s="17">
        <v>3.59</v>
      </c>
      <c r="D145" s="17">
        <v>2.48</v>
      </c>
      <c r="E145" s="17">
        <v>1.1100000000000001</v>
      </c>
      <c r="F145" s="17">
        <v>33.4</v>
      </c>
      <c r="G145" s="17">
        <v>31.4</v>
      </c>
      <c r="H145" s="17">
        <v>2</v>
      </c>
      <c r="I145" s="17">
        <v>7.74</v>
      </c>
      <c r="J145" s="17">
        <v>64.489999999999995</v>
      </c>
      <c r="K145" s="17">
        <v>12.58</v>
      </c>
      <c r="L145" s="17">
        <v>333.6</v>
      </c>
      <c r="M145" s="17">
        <v>16.87</v>
      </c>
      <c r="N145" s="17">
        <v>0.88</v>
      </c>
      <c r="O145" s="17">
        <v>15.99</v>
      </c>
      <c r="P145" s="17">
        <v>4.1900000000000004</v>
      </c>
      <c r="Q145" s="17">
        <v>7.3</v>
      </c>
      <c r="R145" s="17">
        <v>-3.11</v>
      </c>
      <c r="S145" s="17">
        <v>69.09</v>
      </c>
      <c r="T145" s="17">
        <v>62.14</v>
      </c>
      <c r="U145" s="17">
        <v>6.95</v>
      </c>
      <c r="V145" s="17">
        <v>36.6</v>
      </c>
      <c r="W145" s="17">
        <v>36</v>
      </c>
      <c r="X145" s="17">
        <v>435.77</v>
      </c>
      <c r="Y145" s="17">
        <v>834</v>
      </c>
      <c r="Z145" s="17">
        <v>14.28</v>
      </c>
      <c r="AA145" s="17">
        <v>470.01</v>
      </c>
      <c r="AB145" s="17">
        <v>784</v>
      </c>
      <c r="AC145" s="17">
        <v>15.9</v>
      </c>
      <c r="AD145" s="17">
        <v>475.18</v>
      </c>
      <c r="AE145" s="17">
        <v>808</v>
      </c>
      <c r="AF145" s="17">
        <v>18.13</v>
      </c>
      <c r="AG145" s="17">
        <v>247</v>
      </c>
      <c r="AH145" s="17">
        <v>116</v>
      </c>
      <c r="AI145" s="17">
        <v>44.576791190000002</v>
      </c>
      <c r="AJ145" s="17">
        <v>21.629684879999999</v>
      </c>
      <c r="AK145" s="17">
        <v>-22.947106000000002</v>
      </c>
      <c r="AL145" s="17">
        <v>65.709999999999994</v>
      </c>
      <c r="AM145" s="17">
        <v>5541</v>
      </c>
      <c r="AN145" s="17">
        <v>5439</v>
      </c>
      <c r="AO145" s="17">
        <v>5490</v>
      </c>
      <c r="AP145" s="17">
        <v>5423</v>
      </c>
      <c r="AQ145" s="17">
        <v>5363</v>
      </c>
    </row>
    <row r="146" spans="1:43" ht="16" x14ac:dyDescent="0.2">
      <c r="A146" s="17">
        <v>1705</v>
      </c>
      <c r="B146" s="17" t="s">
        <v>158</v>
      </c>
      <c r="C146" s="17">
        <v>0.34</v>
      </c>
      <c r="D146" s="17">
        <v>0.05</v>
      </c>
      <c r="E146" s="17">
        <v>0.28999999999999998</v>
      </c>
      <c r="F146" s="17">
        <v>23.8</v>
      </c>
      <c r="G146" s="17">
        <v>23.3</v>
      </c>
      <c r="H146" s="17">
        <v>0.5</v>
      </c>
      <c r="I146" s="17">
        <v>9.19</v>
      </c>
      <c r="J146" s="17">
        <v>60.98</v>
      </c>
      <c r="K146" s="17">
        <v>9.81</v>
      </c>
      <c r="L146" s="17">
        <v>326.8</v>
      </c>
      <c r="M146" s="17">
        <v>15.51</v>
      </c>
      <c r="N146" s="17">
        <v>0.45</v>
      </c>
      <c r="O146" s="17">
        <v>15.06</v>
      </c>
      <c r="P146" s="17">
        <v>1.72</v>
      </c>
      <c r="Q146" s="17">
        <v>2.04</v>
      </c>
      <c r="R146" s="17">
        <v>-0.32</v>
      </c>
      <c r="S146" s="17">
        <v>54.22</v>
      </c>
      <c r="T146" s="17">
        <v>44.35</v>
      </c>
      <c r="U146" s="17">
        <v>9.8699999999999992</v>
      </c>
      <c r="V146" s="17">
        <v>36</v>
      </c>
      <c r="W146" s="17">
        <v>36.700000000000003</v>
      </c>
      <c r="X146" s="17">
        <v>392.01</v>
      </c>
      <c r="Y146" s="17">
        <v>741</v>
      </c>
      <c r="Z146" s="17">
        <v>33.19</v>
      </c>
      <c r="AA146" s="17">
        <v>355.99</v>
      </c>
      <c r="AB146" s="17">
        <v>734</v>
      </c>
      <c r="AC146" s="17">
        <v>32.43</v>
      </c>
      <c r="AD146" s="17">
        <v>351.17</v>
      </c>
      <c r="AE146" s="17">
        <v>746</v>
      </c>
      <c r="AF146" s="17">
        <v>31.54</v>
      </c>
      <c r="AG146" s="17">
        <v>209</v>
      </c>
      <c r="AH146" s="17">
        <v>110</v>
      </c>
      <c r="AI146" s="17">
        <v>30.94462541</v>
      </c>
      <c r="AJ146" s="17">
        <v>17.163364019999999</v>
      </c>
      <c r="AK146" s="17">
        <v>-13.781261000000001</v>
      </c>
      <c r="AL146" s="17">
        <v>64.63</v>
      </c>
      <c r="AM146" s="17">
        <v>6754</v>
      </c>
      <c r="AN146" s="17">
        <v>6488</v>
      </c>
      <c r="AO146" s="17">
        <v>6462</v>
      </c>
      <c r="AP146" s="17">
        <v>6430</v>
      </c>
      <c r="AQ146" s="17">
        <v>6409</v>
      </c>
    </row>
    <row r="147" spans="1:43" ht="16" x14ac:dyDescent="0.2">
      <c r="A147" s="17">
        <v>1211</v>
      </c>
      <c r="B147" s="17" t="s">
        <v>159</v>
      </c>
      <c r="C147" s="17">
        <v>0.6</v>
      </c>
      <c r="D147" s="17">
        <v>0</v>
      </c>
      <c r="E147" s="17">
        <v>0.6</v>
      </c>
      <c r="F147" s="17">
        <v>21.5</v>
      </c>
      <c r="G147" s="17">
        <v>19.8</v>
      </c>
      <c r="H147" s="17">
        <v>1.7</v>
      </c>
      <c r="I147" s="17">
        <v>7.9</v>
      </c>
      <c r="J147" s="17">
        <v>74.09</v>
      </c>
      <c r="K147" s="17">
        <v>10.8</v>
      </c>
      <c r="L147" s="17">
        <v>208.7</v>
      </c>
      <c r="M147" s="17">
        <v>28.92</v>
      </c>
      <c r="N147" s="17">
        <v>4.5999999999999996</v>
      </c>
      <c r="O147" s="17">
        <v>24.32</v>
      </c>
      <c r="P147" s="17">
        <v>7.93</v>
      </c>
      <c r="Q147" s="17">
        <v>15.58</v>
      </c>
      <c r="R147" s="17">
        <v>-7.65</v>
      </c>
      <c r="S147" s="17">
        <v>63.97</v>
      </c>
      <c r="T147" s="17">
        <v>54.64</v>
      </c>
      <c r="U147" s="17">
        <v>9.33</v>
      </c>
      <c r="V147" s="17">
        <v>29.9</v>
      </c>
      <c r="W147" s="17">
        <v>30.1</v>
      </c>
      <c r="X147" s="17">
        <v>458.06</v>
      </c>
      <c r="Y147" s="17">
        <v>330</v>
      </c>
      <c r="Z147" s="17">
        <v>127.62</v>
      </c>
      <c r="AA147" s="17">
        <v>460.36</v>
      </c>
      <c r="AB147" s="17">
        <v>305</v>
      </c>
      <c r="AC147" s="17">
        <v>133.93</v>
      </c>
      <c r="AD147" s="17">
        <v>455.32</v>
      </c>
      <c r="AE147" s="17">
        <v>313</v>
      </c>
      <c r="AF147" s="17">
        <v>135.69</v>
      </c>
      <c r="AG147" s="17">
        <v>130</v>
      </c>
      <c r="AH147" s="17">
        <v>80</v>
      </c>
      <c r="AI147" s="17">
        <v>42.11208293</v>
      </c>
      <c r="AJ147" s="17">
        <v>26.8907563</v>
      </c>
      <c r="AK147" s="17">
        <v>-15.221327</v>
      </c>
      <c r="AL147" s="17">
        <v>71.58</v>
      </c>
      <c r="AM147" s="17">
        <v>3087</v>
      </c>
      <c r="AN147" s="17">
        <v>2978</v>
      </c>
      <c r="AO147" s="17">
        <v>3000</v>
      </c>
      <c r="AP147" s="17">
        <v>3006</v>
      </c>
      <c r="AQ147" s="17">
        <v>2975</v>
      </c>
    </row>
    <row r="148" spans="1:43" ht="16" x14ac:dyDescent="0.2">
      <c r="A148" s="17">
        <v>1706</v>
      </c>
      <c r="B148" s="17" t="s">
        <v>160</v>
      </c>
      <c r="C148" s="17">
        <v>0.34</v>
      </c>
      <c r="D148" s="17">
        <v>0.16</v>
      </c>
      <c r="E148" s="17">
        <v>0.18</v>
      </c>
      <c r="F148" s="17">
        <v>27.9</v>
      </c>
      <c r="G148" s="17">
        <v>40.700000000000003</v>
      </c>
      <c r="H148" s="17">
        <v>-12.8</v>
      </c>
      <c r="I148" s="17">
        <v>7.25</v>
      </c>
      <c r="J148" s="17">
        <v>63.32</v>
      </c>
      <c r="K148" s="17">
        <v>8.8699999999999992</v>
      </c>
      <c r="L148" s="17">
        <v>550.6</v>
      </c>
      <c r="M148" s="17">
        <v>13.23</v>
      </c>
      <c r="N148" s="17">
        <v>0.62</v>
      </c>
      <c r="O148" s="17">
        <v>12.61</v>
      </c>
      <c r="P148" s="17">
        <v>0.79</v>
      </c>
      <c r="Q148" s="17">
        <v>1.24</v>
      </c>
      <c r="R148" s="17">
        <v>-0.45</v>
      </c>
      <c r="S148" s="17">
        <v>44.65</v>
      </c>
      <c r="T148" s="17">
        <v>37.47</v>
      </c>
      <c r="U148" s="17">
        <v>7.18</v>
      </c>
      <c r="V148" s="17">
        <v>38.200000000000003</v>
      </c>
      <c r="W148" s="17">
        <v>39.4</v>
      </c>
      <c r="X148" s="17">
        <v>468.07</v>
      </c>
      <c r="Y148" s="17">
        <v>1684</v>
      </c>
      <c r="Z148" s="17">
        <v>27.58</v>
      </c>
      <c r="AA148" s="17">
        <v>486.48</v>
      </c>
      <c r="AB148" s="17">
        <v>1704</v>
      </c>
      <c r="AC148" s="17">
        <v>24.8</v>
      </c>
      <c r="AD148" s="17">
        <v>486.29</v>
      </c>
      <c r="AE148" s="17">
        <v>1648</v>
      </c>
      <c r="AF148" s="17">
        <v>25.86</v>
      </c>
      <c r="AG148" s="17">
        <v>270</v>
      </c>
      <c r="AH148" s="17">
        <v>125</v>
      </c>
      <c r="AI148" s="17">
        <v>28.269291169999999</v>
      </c>
      <c r="AJ148" s="17">
        <v>13.67764526</v>
      </c>
      <c r="AK148" s="17">
        <v>-14.591646000000001</v>
      </c>
      <c r="AL148" s="17">
        <v>65.06</v>
      </c>
      <c r="AM148" s="17">
        <v>9551</v>
      </c>
      <c r="AN148" s="17">
        <v>9318</v>
      </c>
      <c r="AO148" s="17">
        <v>9289</v>
      </c>
      <c r="AP148" s="17">
        <v>9204</v>
      </c>
      <c r="AQ148" s="17">
        <v>9139</v>
      </c>
    </row>
    <row r="149" spans="1:43" ht="16" x14ac:dyDescent="0.2">
      <c r="A149" s="17">
        <v>706</v>
      </c>
      <c r="B149" s="17" t="s">
        <v>161</v>
      </c>
      <c r="C149" s="17">
        <v>1.88</v>
      </c>
      <c r="D149" s="17">
        <v>0.38</v>
      </c>
      <c r="E149" s="17">
        <v>1.5</v>
      </c>
      <c r="F149" s="17">
        <v>33.700000000000003</v>
      </c>
      <c r="G149" s="17">
        <v>23.6</v>
      </c>
      <c r="H149" s="17">
        <v>10.1</v>
      </c>
      <c r="I149" s="17">
        <v>4.9000000000000004</v>
      </c>
      <c r="J149" s="17">
        <v>88.69</v>
      </c>
      <c r="K149" s="17">
        <v>15.14</v>
      </c>
      <c r="L149" s="17">
        <v>257.39999999999998</v>
      </c>
      <c r="M149" s="17">
        <v>14.89</v>
      </c>
      <c r="N149" s="17">
        <v>1.19</v>
      </c>
      <c r="O149" s="17">
        <v>13.7</v>
      </c>
      <c r="P149" s="17">
        <v>18.600000000000001</v>
      </c>
      <c r="Q149" s="17">
        <v>27.67</v>
      </c>
      <c r="R149" s="17">
        <v>-9.07</v>
      </c>
      <c r="S149" s="17">
        <v>68.64</v>
      </c>
      <c r="T149" s="17">
        <v>59.06</v>
      </c>
      <c r="U149" s="17">
        <v>9.58</v>
      </c>
      <c r="V149" s="17">
        <v>36.4</v>
      </c>
      <c r="W149" s="17">
        <v>36.4</v>
      </c>
      <c r="X149" s="17">
        <v>459.3</v>
      </c>
      <c r="Y149" s="17">
        <v>2314</v>
      </c>
      <c r="Z149" s="17">
        <v>10.66</v>
      </c>
      <c r="AA149" s="17">
        <v>472.97</v>
      </c>
      <c r="AB149" s="17">
        <v>2245</v>
      </c>
      <c r="AC149" s="17">
        <v>13.16</v>
      </c>
      <c r="AD149" s="17">
        <v>471.63</v>
      </c>
      <c r="AE149" s="17">
        <v>2157</v>
      </c>
      <c r="AF149" s="17">
        <v>15.9</v>
      </c>
      <c r="AG149" s="17">
        <v>650</v>
      </c>
      <c r="AH149" s="17">
        <v>322</v>
      </c>
      <c r="AI149" s="17">
        <v>39.772379610000002</v>
      </c>
      <c r="AJ149" s="17">
        <v>20.256668340000001</v>
      </c>
      <c r="AK149" s="17">
        <v>-19.515711</v>
      </c>
      <c r="AL149" s="17">
        <v>88.63</v>
      </c>
      <c r="AM149" s="17">
        <v>16343</v>
      </c>
      <c r="AN149" s="17">
        <v>15950</v>
      </c>
      <c r="AO149" s="17">
        <v>15966</v>
      </c>
      <c r="AP149" s="17">
        <v>16002</v>
      </c>
      <c r="AQ149" s="17">
        <v>15896</v>
      </c>
    </row>
    <row r="150" spans="1:43" ht="16" x14ac:dyDescent="0.2">
      <c r="A150" s="17">
        <v>610</v>
      </c>
      <c r="B150" s="17" t="s">
        <v>162</v>
      </c>
      <c r="C150" s="17">
        <v>0.83</v>
      </c>
      <c r="D150" s="17">
        <v>0.18</v>
      </c>
      <c r="E150" s="17">
        <v>0.65</v>
      </c>
      <c r="F150" s="17">
        <v>16.899999999999999</v>
      </c>
      <c r="G150" s="17">
        <v>20.7</v>
      </c>
      <c r="H150" s="17">
        <v>-3.8</v>
      </c>
      <c r="I150" s="17">
        <v>5.29</v>
      </c>
      <c r="J150" s="17">
        <v>71.34</v>
      </c>
      <c r="K150" s="17">
        <v>16.940000000000001</v>
      </c>
      <c r="L150" s="17">
        <v>213.7</v>
      </c>
      <c r="M150" s="17">
        <v>20.72</v>
      </c>
      <c r="N150" s="17">
        <v>1.5</v>
      </c>
      <c r="O150" s="17">
        <v>19.22</v>
      </c>
      <c r="P150" s="17">
        <v>2.75</v>
      </c>
      <c r="Q150" s="17">
        <v>5.69</v>
      </c>
      <c r="R150" s="17">
        <v>-2.94</v>
      </c>
      <c r="S150" s="17">
        <v>65.819999999999993</v>
      </c>
      <c r="T150" s="17">
        <v>52.32</v>
      </c>
      <c r="U150" s="17">
        <v>13.5</v>
      </c>
      <c r="V150" s="17">
        <v>35.9</v>
      </c>
      <c r="W150" s="17">
        <v>35.700000000000003</v>
      </c>
      <c r="X150" s="17">
        <v>370.54</v>
      </c>
      <c r="Y150" s="17">
        <v>2810</v>
      </c>
      <c r="Z150" s="17">
        <v>11</v>
      </c>
      <c r="AA150" s="17">
        <v>363.87</v>
      </c>
      <c r="AB150" s="17">
        <v>2748</v>
      </c>
      <c r="AC150" s="17">
        <v>12.53</v>
      </c>
      <c r="AD150" s="17">
        <v>366.14</v>
      </c>
      <c r="AE150" s="17">
        <v>2876</v>
      </c>
      <c r="AF150" s="17">
        <v>13.53</v>
      </c>
      <c r="AG150" s="17">
        <v>1150</v>
      </c>
      <c r="AH150" s="17">
        <v>658</v>
      </c>
      <c r="AI150" s="17">
        <v>46.046046050000001</v>
      </c>
      <c r="AJ150" s="17">
        <v>26.617046240000001</v>
      </c>
      <c r="AK150" s="17">
        <v>-19.428999999999998</v>
      </c>
      <c r="AL150" s="17">
        <v>75.569999999999993</v>
      </c>
      <c r="AM150" s="17">
        <v>24975</v>
      </c>
      <c r="AN150" s="17">
        <v>24530</v>
      </c>
      <c r="AO150" s="17">
        <v>24677</v>
      </c>
      <c r="AP150" s="17">
        <v>24720</v>
      </c>
      <c r="AQ150" s="17">
        <v>24721</v>
      </c>
    </row>
    <row r="151" spans="1:43" ht="16" x14ac:dyDescent="0.2">
      <c r="A151" s="17">
        <v>1507</v>
      </c>
      <c r="B151" s="17" t="s">
        <v>163</v>
      </c>
      <c r="C151" s="17">
        <v>4.88</v>
      </c>
      <c r="D151" s="17">
        <v>2.23</v>
      </c>
      <c r="E151" s="17">
        <v>2.65</v>
      </c>
      <c r="F151" s="17">
        <v>38.299999999999997</v>
      </c>
      <c r="G151" s="17">
        <v>41.5</v>
      </c>
      <c r="H151" s="17">
        <v>-3.2</v>
      </c>
      <c r="I151" s="17">
        <v>9.2100000000000009</v>
      </c>
      <c r="J151" s="17">
        <v>99.34</v>
      </c>
      <c r="K151" s="17">
        <v>22.84</v>
      </c>
      <c r="L151" s="17">
        <v>116.9</v>
      </c>
      <c r="M151" s="17">
        <v>24.8</v>
      </c>
      <c r="N151" s="17">
        <v>2.64</v>
      </c>
      <c r="O151" s="17">
        <v>22.16</v>
      </c>
      <c r="P151" s="17">
        <v>4.4000000000000004</v>
      </c>
      <c r="Q151" s="17">
        <v>10.42</v>
      </c>
      <c r="R151" s="17">
        <v>-6.02</v>
      </c>
      <c r="S151" s="17">
        <v>65.91</v>
      </c>
      <c r="T151" s="17">
        <v>50.33</v>
      </c>
      <c r="U151" s="17">
        <v>15.58</v>
      </c>
      <c r="V151" s="17">
        <v>42.4</v>
      </c>
      <c r="W151" s="17">
        <v>41.2</v>
      </c>
      <c r="X151" s="17">
        <v>278.72000000000003</v>
      </c>
      <c r="Y151" s="17">
        <v>6624</v>
      </c>
      <c r="Z151" s="17">
        <v>38.630000000000003</v>
      </c>
      <c r="AA151" s="17">
        <v>278.41000000000003</v>
      </c>
      <c r="AB151" s="17">
        <v>6135</v>
      </c>
      <c r="AC151" s="17">
        <v>39.04</v>
      </c>
      <c r="AD151" s="17">
        <v>281.02999999999997</v>
      </c>
      <c r="AE151" s="17">
        <v>5955</v>
      </c>
      <c r="AF151" s="17">
        <v>38.53</v>
      </c>
      <c r="AG151" s="17">
        <v>2714</v>
      </c>
      <c r="AH151" s="17">
        <v>2186</v>
      </c>
      <c r="AI151" s="17">
        <v>51.174718110000001</v>
      </c>
      <c r="AJ151" s="17">
        <v>37.66173354</v>
      </c>
      <c r="AK151" s="17">
        <v>-13.512985</v>
      </c>
      <c r="AL151" s="17">
        <v>102.53</v>
      </c>
      <c r="AM151" s="17">
        <v>53034</v>
      </c>
      <c r="AN151" s="17">
        <v>54910</v>
      </c>
      <c r="AO151" s="17">
        <v>56176</v>
      </c>
      <c r="AP151" s="17">
        <v>56915</v>
      </c>
      <c r="AQ151" s="17">
        <v>58043</v>
      </c>
    </row>
    <row r="152" spans="1:43" ht="16" x14ac:dyDescent="0.2">
      <c r="A152" s="17">
        <v>707</v>
      </c>
      <c r="B152" s="17" t="s">
        <v>164</v>
      </c>
      <c r="C152" s="17">
        <v>0.57999999999999996</v>
      </c>
      <c r="D152" s="17">
        <v>0.09</v>
      </c>
      <c r="E152" s="17">
        <v>0.49</v>
      </c>
      <c r="F152" s="17">
        <v>28.4</v>
      </c>
      <c r="G152" s="17">
        <v>24</v>
      </c>
      <c r="H152" s="17">
        <v>4.4000000000000004</v>
      </c>
      <c r="I152" s="17">
        <v>7.07</v>
      </c>
      <c r="J152" s="17">
        <v>83.28</v>
      </c>
      <c r="K152" s="17">
        <v>10.43</v>
      </c>
      <c r="L152" s="17">
        <v>414.4</v>
      </c>
      <c r="M152" s="17">
        <v>14.57</v>
      </c>
      <c r="N152" s="17">
        <v>1.01</v>
      </c>
      <c r="O152" s="17">
        <v>13.56</v>
      </c>
      <c r="P152" s="17">
        <v>22.95</v>
      </c>
      <c r="Q152" s="17">
        <v>34.659999999999997</v>
      </c>
      <c r="R152" s="17">
        <v>-11.71</v>
      </c>
      <c r="S152" s="17">
        <v>63.98</v>
      </c>
      <c r="T152" s="17">
        <v>55.86</v>
      </c>
      <c r="U152" s="17">
        <v>8.1199999999999992</v>
      </c>
      <c r="V152" s="17">
        <v>34.299999999999997</v>
      </c>
      <c r="W152" s="17">
        <v>34.9</v>
      </c>
      <c r="X152" s="17">
        <v>570.67999999999995</v>
      </c>
      <c r="Y152" s="17">
        <v>480</v>
      </c>
      <c r="Z152" s="17">
        <v>13.61</v>
      </c>
      <c r="AA152" s="17">
        <v>618.54</v>
      </c>
      <c r="AB152" s="17">
        <v>463</v>
      </c>
      <c r="AC152" s="17">
        <v>11.96</v>
      </c>
      <c r="AD152" s="17">
        <v>614.02</v>
      </c>
      <c r="AE152" s="17">
        <v>493</v>
      </c>
      <c r="AF152" s="17">
        <v>12.28</v>
      </c>
      <c r="AG152" s="17">
        <v>199</v>
      </c>
      <c r="AH152" s="17">
        <v>82</v>
      </c>
      <c r="AI152" s="17">
        <v>44.036291210000002</v>
      </c>
      <c r="AJ152" s="17">
        <v>19.631314339999999</v>
      </c>
      <c r="AK152" s="17">
        <v>-24.404976999999999</v>
      </c>
      <c r="AL152" s="17">
        <v>80.19</v>
      </c>
      <c r="AM152" s="17">
        <v>4519</v>
      </c>
      <c r="AN152" s="17">
        <v>4245</v>
      </c>
      <c r="AO152" s="17">
        <v>4203</v>
      </c>
      <c r="AP152" s="17">
        <v>4188</v>
      </c>
      <c r="AQ152" s="17">
        <v>4177</v>
      </c>
    </row>
    <row r="153" spans="1:43" ht="16" x14ac:dyDescent="0.2">
      <c r="A153" s="17">
        <v>1808</v>
      </c>
      <c r="B153" s="17" t="s">
        <v>165</v>
      </c>
      <c r="C153" s="17">
        <v>1.99</v>
      </c>
      <c r="D153" s="17">
        <v>0.68</v>
      </c>
      <c r="E153" s="17">
        <v>1.31</v>
      </c>
      <c r="F153" s="17">
        <v>23.1</v>
      </c>
      <c r="G153" s="17">
        <v>19.399999999999999</v>
      </c>
      <c r="H153" s="17">
        <v>3.7</v>
      </c>
      <c r="I153" s="17">
        <v>4.1100000000000003</v>
      </c>
      <c r="J153" s="17">
        <v>77.150000000000006</v>
      </c>
      <c r="K153" s="17">
        <v>12.73</v>
      </c>
      <c r="L153" s="17">
        <v>372.2</v>
      </c>
      <c r="M153" s="17">
        <v>14.33</v>
      </c>
      <c r="N153" s="17">
        <v>0.56999999999999995</v>
      </c>
      <c r="O153" s="17">
        <v>13.76</v>
      </c>
      <c r="P153" s="17">
        <v>1.22</v>
      </c>
      <c r="Q153" s="17">
        <v>1.67</v>
      </c>
      <c r="R153" s="17">
        <v>-0.45</v>
      </c>
      <c r="S153" s="17">
        <v>59.65</v>
      </c>
      <c r="T153" s="17">
        <v>50.57</v>
      </c>
      <c r="U153" s="17">
        <v>9.08</v>
      </c>
      <c r="V153" s="17">
        <v>36.1</v>
      </c>
      <c r="W153" s="17">
        <v>36.4</v>
      </c>
      <c r="X153" s="17">
        <v>432.93</v>
      </c>
      <c r="Y153" s="17">
        <v>1279</v>
      </c>
      <c r="Z153" s="17">
        <v>12.1</v>
      </c>
      <c r="AA153" s="17">
        <v>440.25</v>
      </c>
      <c r="AB153" s="17">
        <v>1281</v>
      </c>
      <c r="AC153" s="17">
        <v>9.7100000000000009</v>
      </c>
      <c r="AD153" s="17">
        <v>443.93</v>
      </c>
      <c r="AE153" s="17">
        <v>1355</v>
      </c>
      <c r="AF153" s="17">
        <v>9.93</v>
      </c>
      <c r="AG153" s="17">
        <v>271</v>
      </c>
      <c r="AH153" s="17">
        <v>161</v>
      </c>
      <c r="AI153" s="17">
        <v>29.701885140000002</v>
      </c>
      <c r="AJ153" s="17">
        <v>17.99888206</v>
      </c>
      <c r="AK153" s="17">
        <v>-11.703003000000001</v>
      </c>
      <c r="AL153" s="17">
        <v>80.180000000000007</v>
      </c>
      <c r="AM153" s="17">
        <v>9124</v>
      </c>
      <c r="AN153" s="17">
        <v>9019</v>
      </c>
      <c r="AO153" s="17">
        <v>9029</v>
      </c>
      <c r="AP153" s="17">
        <v>9011</v>
      </c>
      <c r="AQ153" s="17">
        <v>8945</v>
      </c>
    </row>
    <row r="154" spans="1:43" ht="16" x14ac:dyDescent="0.2">
      <c r="A154" s="17">
        <v>210</v>
      </c>
      <c r="B154" s="17" t="s">
        <v>166</v>
      </c>
      <c r="C154" s="17">
        <v>0.31</v>
      </c>
      <c r="D154" s="17">
        <v>0.1</v>
      </c>
      <c r="E154" s="17">
        <v>0.21</v>
      </c>
      <c r="F154" s="17">
        <v>31.6</v>
      </c>
      <c r="G154" s="17">
        <v>22.1</v>
      </c>
      <c r="H154" s="17">
        <v>9.5</v>
      </c>
      <c r="I154" s="17">
        <v>16.510000000000002</v>
      </c>
      <c r="J154" s="17">
        <v>77.180000000000007</v>
      </c>
      <c r="K154" s="17">
        <v>11.02</v>
      </c>
      <c r="L154" s="17">
        <v>181.7</v>
      </c>
      <c r="M154" s="17">
        <v>30.45</v>
      </c>
      <c r="N154" s="17">
        <v>4.68</v>
      </c>
      <c r="O154" s="17">
        <v>25.77</v>
      </c>
      <c r="P154" s="17">
        <v>12.58</v>
      </c>
      <c r="Q154" s="17">
        <v>20.71</v>
      </c>
      <c r="R154" s="17">
        <v>-8.1300000000000008</v>
      </c>
      <c r="S154" s="17">
        <v>60.02</v>
      </c>
      <c r="T154" s="17">
        <v>42.67</v>
      </c>
      <c r="U154" s="17">
        <v>17.350000000000001</v>
      </c>
      <c r="V154" s="17">
        <v>36.6</v>
      </c>
      <c r="W154" s="17">
        <v>37.5</v>
      </c>
      <c r="X154" s="17">
        <v>411.51</v>
      </c>
      <c r="Y154" s="17">
        <v>2065</v>
      </c>
      <c r="Z154" s="17">
        <v>132.55000000000001</v>
      </c>
      <c r="AA154" s="17">
        <v>404.76</v>
      </c>
      <c r="AB154" s="17">
        <v>1985</v>
      </c>
      <c r="AC154" s="17">
        <v>126.43</v>
      </c>
      <c r="AD154" s="17">
        <v>408.29</v>
      </c>
      <c r="AE154" s="17">
        <v>2026</v>
      </c>
      <c r="AF154" s="17">
        <v>120.82</v>
      </c>
      <c r="AG154" s="17">
        <v>740</v>
      </c>
      <c r="AH154" s="17">
        <v>438</v>
      </c>
      <c r="AI154" s="17">
        <v>53.302600300000002</v>
      </c>
      <c r="AJ154" s="17">
        <v>32.865611170000001</v>
      </c>
      <c r="AK154" s="17">
        <v>-20.436989000000001</v>
      </c>
      <c r="AL154" s="17">
        <v>75.97</v>
      </c>
      <c r="AM154" s="17">
        <v>13883</v>
      </c>
      <c r="AN154" s="17">
        <v>13368</v>
      </c>
      <c r="AO154" s="17">
        <v>13359</v>
      </c>
      <c r="AP154" s="17">
        <v>13312</v>
      </c>
      <c r="AQ154" s="17">
        <v>13327</v>
      </c>
    </row>
    <row r="155" spans="1:43" ht="16" x14ac:dyDescent="0.2">
      <c r="A155" s="17">
        <v>708</v>
      </c>
      <c r="B155" s="17" t="s">
        <v>167</v>
      </c>
      <c r="C155" s="17">
        <v>0.66</v>
      </c>
      <c r="D155" s="17">
        <v>0.5</v>
      </c>
      <c r="E155" s="17">
        <v>0.16</v>
      </c>
      <c r="F155" s="17">
        <v>64.599999999999994</v>
      </c>
      <c r="G155" s="17">
        <v>18.600000000000001</v>
      </c>
      <c r="H155" s="17">
        <v>46</v>
      </c>
      <c r="I155" s="17">
        <v>13.38</v>
      </c>
      <c r="J155" s="17">
        <v>71.319999999999993</v>
      </c>
      <c r="K155" s="17">
        <v>8.7899999999999991</v>
      </c>
      <c r="L155" s="17">
        <v>186.2</v>
      </c>
      <c r="M155" s="17">
        <v>29.77</v>
      </c>
      <c r="N155" s="17">
        <v>4.17</v>
      </c>
      <c r="O155" s="17">
        <v>25.6</v>
      </c>
      <c r="P155" s="17">
        <v>5.12</v>
      </c>
      <c r="Q155" s="17">
        <v>10.66</v>
      </c>
      <c r="R155" s="17">
        <v>-5.54</v>
      </c>
      <c r="S155" s="17">
        <v>64</v>
      </c>
      <c r="T155" s="17">
        <v>49.79</v>
      </c>
      <c r="U155" s="17">
        <v>14.21</v>
      </c>
      <c r="V155" s="17">
        <v>29.9</v>
      </c>
      <c r="W155" s="17">
        <v>30.1</v>
      </c>
      <c r="X155" s="17">
        <v>396.29</v>
      </c>
      <c r="Y155" s="17">
        <v>296</v>
      </c>
      <c r="Z155" s="17">
        <v>144.74</v>
      </c>
      <c r="AA155" s="17">
        <v>391.26</v>
      </c>
      <c r="AB155" s="17">
        <v>294</v>
      </c>
      <c r="AC155" s="17">
        <v>142.59</v>
      </c>
      <c r="AD155" s="17">
        <v>401.41</v>
      </c>
      <c r="AE155" s="17">
        <v>296</v>
      </c>
      <c r="AF155" s="17">
        <v>146.19999999999999</v>
      </c>
      <c r="AG155" s="17">
        <v>120</v>
      </c>
      <c r="AH155" s="17">
        <v>95</v>
      </c>
      <c r="AI155" s="17">
        <v>48.563334679999997</v>
      </c>
      <c r="AJ155" s="17">
        <v>39.649415689999998</v>
      </c>
      <c r="AK155" s="17">
        <v>-8.9139189999999999</v>
      </c>
      <c r="AL155" s="17">
        <v>71.150000000000006</v>
      </c>
      <c r="AM155" s="17">
        <v>2471</v>
      </c>
      <c r="AN155" s="17">
        <v>2367</v>
      </c>
      <c r="AO155" s="17">
        <v>2354</v>
      </c>
      <c r="AP155" s="17">
        <v>2385</v>
      </c>
      <c r="AQ155" s="17">
        <v>2396</v>
      </c>
    </row>
    <row r="156" spans="1:43" ht="16" x14ac:dyDescent="0.2">
      <c r="A156" s="17">
        <v>1707</v>
      </c>
      <c r="B156" s="17" t="s">
        <v>168</v>
      </c>
      <c r="C156" s="17">
        <v>0.38</v>
      </c>
      <c r="D156" s="17">
        <v>0.09</v>
      </c>
      <c r="E156" s="17">
        <v>0.28999999999999998</v>
      </c>
      <c r="F156" s="17">
        <v>21.4</v>
      </c>
      <c r="G156" s="17">
        <v>22.1</v>
      </c>
      <c r="H156" s="17">
        <v>-0.7</v>
      </c>
      <c r="I156" s="17">
        <v>8.14</v>
      </c>
      <c r="J156" s="17">
        <v>61.57</v>
      </c>
      <c r="K156" s="17">
        <v>10.53</v>
      </c>
      <c r="L156" s="17">
        <v>449.1</v>
      </c>
      <c r="M156" s="17">
        <v>18.53</v>
      </c>
      <c r="N156" s="17">
        <v>0.5</v>
      </c>
      <c r="O156" s="17">
        <v>18.03</v>
      </c>
      <c r="P156" s="17">
        <v>0.82</v>
      </c>
      <c r="Q156" s="17">
        <v>1.59</v>
      </c>
      <c r="R156" s="17">
        <v>-0.77</v>
      </c>
      <c r="S156" s="17">
        <v>53.6</v>
      </c>
      <c r="T156" s="17">
        <v>45.56</v>
      </c>
      <c r="U156" s="17">
        <v>8.0399999999999991</v>
      </c>
      <c r="V156" s="17">
        <v>38</v>
      </c>
      <c r="W156" s="17">
        <v>39.4</v>
      </c>
      <c r="X156" s="17">
        <v>455.17</v>
      </c>
      <c r="Y156" s="17">
        <v>1232</v>
      </c>
      <c r="Z156" s="17">
        <v>70.89</v>
      </c>
      <c r="AA156" s="17">
        <v>446.76</v>
      </c>
      <c r="AB156" s="17">
        <v>1254</v>
      </c>
      <c r="AC156" s="17">
        <v>71.209999999999994</v>
      </c>
      <c r="AD156" s="17">
        <v>447.03</v>
      </c>
      <c r="AE156" s="17">
        <v>1286</v>
      </c>
      <c r="AF156" s="17">
        <v>83.59</v>
      </c>
      <c r="AG156" s="17">
        <v>167</v>
      </c>
      <c r="AH156" s="17">
        <v>106</v>
      </c>
      <c r="AI156" s="17">
        <v>30.452224650000002</v>
      </c>
      <c r="AJ156" s="17">
        <v>20.2948497</v>
      </c>
      <c r="AK156" s="17">
        <v>-10.157375</v>
      </c>
      <c r="AL156" s="17">
        <v>65.25</v>
      </c>
      <c r="AM156" s="17">
        <v>5484</v>
      </c>
      <c r="AN156" s="17">
        <v>5342</v>
      </c>
      <c r="AO156" s="17">
        <v>5279</v>
      </c>
      <c r="AP156" s="17">
        <v>5238</v>
      </c>
      <c r="AQ156" s="17">
        <v>5223</v>
      </c>
    </row>
    <row r="157" spans="1:43" ht="16" x14ac:dyDescent="0.2">
      <c r="A157" s="17">
        <v>112</v>
      </c>
      <c r="B157" s="17" t="s">
        <v>169</v>
      </c>
      <c r="C157" s="17">
        <v>1.1100000000000001</v>
      </c>
      <c r="D157" s="17">
        <v>0.46</v>
      </c>
      <c r="E157" s="17">
        <v>0.65</v>
      </c>
      <c r="F157" s="17">
        <v>31.3</v>
      </c>
      <c r="G157" s="17">
        <v>32.5</v>
      </c>
      <c r="H157" s="17">
        <v>-1.2</v>
      </c>
      <c r="I157" s="17">
        <v>5.0599999999999996</v>
      </c>
      <c r="J157" s="17">
        <v>71.48</v>
      </c>
      <c r="K157" s="17">
        <v>13.64</v>
      </c>
      <c r="L157" s="17">
        <v>187.6</v>
      </c>
      <c r="M157" s="17">
        <v>21.75</v>
      </c>
      <c r="N157" s="17">
        <v>0.79</v>
      </c>
      <c r="O157" s="17">
        <v>20.96</v>
      </c>
      <c r="P157" s="17">
        <v>1.04</v>
      </c>
      <c r="Q157" s="17">
        <v>2.74</v>
      </c>
      <c r="R157" s="17">
        <v>-1.7</v>
      </c>
      <c r="S157" s="17">
        <v>52.33</v>
      </c>
      <c r="T157" s="17">
        <v>40.97</v>
      </c>
      <c r="U157" s="17">
        <v>11.36</v>
      </c>
      <c r="V157" s="17">
        <v>39.9</v>
      </c>
      <c r="W157" s="17">
        <v>41.7</v>
      </c>
      <c r="X157" s="17">
        <v>272.63</v>
      </c>
      <c r="Y157" s="17">
        <v>1306</v>
      </c>
      <c r="Z157" s="17">
        <v>10.6</v>
      </c>
      <c r="AA157" s="17">
        <v>279.49</v>
      </c>
      <c r="AB157" s="17">
        <v>1258</v>
      </c>
      <c r="AC157" s="17">
        <v>9.73</v>
      </c>
      <c r="AD157" s="17">
        <v>277.5</v>
      </c>
      <c r="AE157" s="17">
        <v>1220</v>
      </c>
      <c r="AF157" s="17">
        <v>9.27</v>
      </c>
      <c r="AG157" s="17">
        <v>394</v>
      </c>
      <c r="AH157" s="17">
        <v>301</v>
      </c>
      <c r="AI157" s="17">
        <v>38.278441659999999</v>
      </c>
      <c r="AJ157" s="17">
        <v>28.070502659999999</v>
      </c>
      <c r="AK157" s="17">
        <v>-10.207939</v>
      </c>
      <c r="AL157" s="17">
        <v>73.11</v>
      </c>
      <c r="AM157" s="17">
        <v>10293</v>
      </c>
      <c r="AN157" s="17">
        <v>10429</v>
      </c>
      <c r="AO157" s="17">
        <v>10508</v>
      </c>
      <c r="AP157" s="17">
        <v>10668</v>
      </c>
      <c r="AQ157" s="17">
        <v>10723</v>
      </c>
    </row>
    <row r="158" spans="1:43" ht="16" x14ac:dyDescent="0.2">
      <c r="A158" s="17">
        <v>1011</v>
      </c>
      <c r="B158" s="17" t="s">
        <v>170</v>
      </c>
      <c r="C158" s="17">
        <v>4.58</v>
      </c>
      <c r="D158" s="17">
        <v>1.39</v>
      </c>
      <c r="E158" s="17">
        <v>3.19</v>
      </c>
      <c r="F158" s="17">
        <v>38.1</v>
      </c>
      <c r="G158" s="17">
        <v>39.700000000000003</v>
      </c>
      <c r="H158" s="17">
        <v>-1.6</v>
      </c>
      <c r="I158" s="17">
        <v>8.01</v>
      </c>
      <c r="J158" s="17">
        <v>86.4</v>
      </c>
      <c r="K158" s="17">
        <v>15.46</v>
      </c>
      <c r="L158" s="17">
        <v>211.3</v>
      </c>
      <c r="M158" s="17">
        <v>19.86</v>
      </c>
      <c r="N158" s="17">
        <v>1.03</v>
      </c>
      <c r="O158" s="17">
        <v>18.829999999999998</v>
      </c>
      <c r="P158" s="17">
        <v>4.9800000000000004</v>
      </c>
      <c r="Q158" s="17">
        <v>6.75</v>
      </c>
      <c r="R158" s="17">
        <v>-1.77</v>
      </c>
      <c r="S158" s="17">
        <v>56.22</v>
      </c>
      <c r="T158" s="17">
        <v>41.86</v>
      </c>
      <c r="U158" s="17">
        <v>14.36</v>
      </c>
      <c r="V158" s="17">
        <v>38.4</v>
      </c>
      <c r="W158" s="17">
        <v>38.299999999999997</v>
      </c>
      <c r="X158" s="17">
        <v>386.43</v>
      </c>
      <c r="Y158" s="17">
        <v>2419</v>
      </c>
      <c r="Z158" s="17">
        <v>13.14</v>
      </c>
      <c r="AA158" s="17">
        <v>412.16</v>
      </c>
      <c r="AB158" s="17">
        <v>2177</v>
      </c>
      <c r="AC158" s="17">
        <v>15.08</v>
      </c>
      <c r="AD158" s="17">
        <v>415.09</v>
      </c>
      <c r="AE158" s="17">
        <v>2140</v>
      </c>
      <c r="AF158" s="17">
        <v>7.52</v>
      </c>
      <c r="AG158" s="17">
        <v>718</v>
      </c>
      <c r="AH158" s="17">
        <v>552</v>
      </c>
      <c r="AI158" s="17">
        <v>48.171754440000001</v>
      </c>
      <c r="AJ158" s="17">
        <v>35.956227200000001</v>
      </c>
      <c r="AK158" s="17">
        <v>-12.215527</v>
      </c>
      <c r="AL158" s="17">
        <v>88.09</v>
      </c>
      <c r="AM158" s="17">
        <v>14905</v>
      </c>
      <c r="AN158" s="17">
        <v>14909</v>
      </c>
      <c r="AO158" s="17">
        <v>14912</v>
      </c>
      <c r="AP158" s="17">
        <v>15056</v>
      </c>
      <c r="AQ158" s="17">
        <v>15352</v>
      </c>
    </row>
    <row r="159" spans="1:43" ht="16" x14ac:dyDescent="0.2">
      <c r="A159" s="17">
        <v>1809</v>
      </c>
      <c r="B159" s="17" t="s">
        <v>171</v>
      </c>
      <c r="C159" s="17">
        <v>1.66</v>
      </c>
      <c r="D159" s="17">
        <v>0.33</v>
      </c>
      <c r="E159" s="17">
        <v>1.33</v>
      </c>
      <c r="F159" s="17">
        <v>24.7</v>
      </c>
      <c r="G159" s="17">
        <v>24.5</v>
      </c>
      <c r="H159" s="17">
        <v>0.2</v>
      </c>
      <c r="I159" s="17">
        <v>6.77</v>
      </c>
      <c r="J159" s="17">
        <v>79.2</v>
      </c>
      <c r="K159" s="17">
        <v>14</v>
      </c>
      <c r="L159" s="17">
        <v>287.2</v>
      </c>
      <c r="M159" s="17">
        <v>20.99</v>
      </c>
      <c r="N159" s="17">
        <v>1.1000000000000001</v>
      </c>
      <c r="O159" s="17">
        <v>19.89</v>
      </c>
      <c r="P159" s="17">
        <v>1.73</v>
      </c>
      <c r="Q159" s="17">
        <v>3.23</v>
      </c>
      <c r="R159" s="17">
        <v>-1.5</v>
      </c>
      <c r="S159" s="17">
        <v>60.78</v>
      </c>
      <c r="T159" s="17">
        <v>48.81</v>
      </c>
      <c r="U159" s="17">
        <v>11.97</v>
      </c>
      <c r="V159" s="17">
        <v>36.4</v>
      </c>
      <c r="W159" s="17">
        <v>37.6</v>
      </c>
      <c r="X159" s="17">
        <v>403.31</v>
      </c>
      <c r="Y159" s="17">
        <v>1299</v>
      </c>
      <c r="Z159" s="17">
        <v>20.74</v>
      </c>
      <c r="AA159" s="17">
        <v>408.95</v>
      </c>
      <c r="AB159" s="17">
        <v>1257</v>
      </c>
      <c r="AC159" s="17">
        <v>21.97</v>
      </c>
      <c r="AD159" s="17">
        <v>410.49</v>
      </c>
      <c r="AE159" s="17">
        <v>1207</v>
      </c>
      <c r="AF159" s="17">
        <v>23.21</v>
      </c>
      <c r="AG159" s="17">
        <v>530</v>
      </c>
      <c r="AH159" s="17">
        <v>418</v>
      </c>
      <c r="AI159" s="17">
        <v>39.643952429999999</v>
      </c>
      <c r="AJ159" s="17">
        <v>31.774990500000001</v>
      </c>
      <c r="AK159" s="17">
        <v>-7.8689619000000004</v>
      </c>
      <c r="AL159" s="17">
        <v>79.33</v>
      </c>
      <c r="AM159" s="17">
        <v>13369</v>
      </c>
      <c r="AN159" s="17">
        <v>13139</v>
      </c>
      <c r="AO159" s="17">
        <v>13223</v>
      </c>
      <c r="AP159" s="17">
        <v>13209</v>
      </c>
      <c r="AQ159" s="17">
        <v>13155</v>
      </c>
    </row>
    <row r="160" spans="1:43" ht="16" x14ac:dyDescent="0.2">
      <c r="A160" s="17">
        <v>1212</v>
      </c>
      <c r="B160" s="17" t="s">
        <v>172</v>
      </c>
      <c r="C160" s="17">
        <v>0.63</v>
      </c>
      <c r="D160" s="17">
        <v>0.15</v>
      </c>
      <c r="E160" s="17">
        <v>0.48</v>
      </c>
      <c r="F160" s="17">
        <v>29.3</v>
      </c>
      <c r="G160" s="17">
        <v>23.8</v>
      </c>
      <c r="H160" s="17">
        <v>5.5</v>
      </c>
      <c r="I160" s="17">
        <v>7.54</v>
      </c>
      <c r="J160" s="17">
        <v>74.56</v>
      </c>
      <c r="K160" s="17">
        <v>11.9</v>
      </c>
      <c r="L160" s="17">
        <v>455.9</v>
      </c>
      <c r="M160" s="17">
        <v>19.61</v>
      </c>
      <c r="N160" s="17">
        <v>2.21</v>
      </c>
      <c r="O160" s="17">
        <v>17.399999999999999</v>
      </c>
      <c r="P160" s="17">
        <v>6.98</v>
      </c>
      <c r="Q160" s="17">
        <v>11.07</v>
      </c>
      <c r="R160" s="17">
        <v>-4.09</v>
      </c>
      <c r="S160" s="17">
        <v>64.08</v>
      </c>
      <c r="T160" s="17">
        <v>55.43</v>
      </c>
      <c r="U160" s="17">
        <v>8.65</v>
      </c>
      <c r="V160" s="17">
        <v>35.299999999999997</v>
      </c>
      <c r="W160" s="17">
        <v>36.200000000000003</v>
      </c>
      <c r="X160" s="17">
        <v>548.42999999999995</v>
      </c>
      <c r="Y160" s="17">
        <v>770</v>
      </c>
      <c r="Z160" s="17">
        <v>29.56</v>
      </c>
      <c r="AA160" s="17">
        <v>542.48</v>
      </c>
      <c r="AB160" s="17">
        <v>755</v>
      </c>
      <c r="AC160" s="17">
        <v>29.67</v>
      </c>
      <c r="AD160" s="17">
        <v>549.46</v>
      </c>
      <c r="AE160" s="17">
        <v>746</v>
      </c>
      <c r="AF160" s="17">
        <v>29.41</v>
      </c>
      <c r="AG160" s="17">
        <v>196</v>
      </c>
      <c r="AH160" s="17">
        <v>141</v>
      </c>
      <c r="AI160" s="17">
        <v>30.246913580000001</v>
      </c>
      <c r="AJ160" s="17">
        <v>24.633123690000001</v>
      </c>
      <c r="AK160" s="17">
        <v>-5.6137899000000004</v>
      </c>
      <c r="AL160" s="17">
        <v>76.37</v>
      </c>
      <c r="AM160" s="17">
        <v>6480</v>
      </c>
      <c r="AN160" s="17">
        <v>6084</v>
      </c>
      <c r="AO160" s="17">
        <v>5981</v>
      </c>
      <c r="AP160" s="17">
        <v>5831</v>
      </c>
      <c r="AQ160" s="17">
        <v>5724</v>
      </c>
    </row>
    <row r="161" spans="1:43" ht="16" x14ac:dyDescent="0.2">
      <c r="A161" s="17">
        <v>1012</v>
      </c>
      <c r="B161" s="17" t="s">
        <v>173</v>
      </c>
      <c r="C161" s="17">
        <v>2.79</v>
      </c>
      <c r="D161" s="17">
        <v>1.24</v>
      </c>
      <c r="E161" s="17">
        <v>1.55</v>
      </c>
      <c r="F161" s="17">
        <v>26.6</v>
      </c>
      <c r="G161" s="17">
        <v>27.9</v>
      </c>
      <c r="H161" s="17">
        <v>-1.3</v>
      </c>
      <c r="I161" s="17">
        <v>6.07</v>
      </c>
      <c r="J161" s="17">
        <v>75.900000000000006</v>
      </c>
      <c r="K161" s="17">
        <v>16.29</v>
      </c>
      <c r="L161" s="17">
        <v>214.3</v>
      </c>
      <c r="M161" s="17">
        <v>19.88</v>
      </c>
      <c r="N161" s="17">
        <v>1.51</v>
      </c>
      <c r="O161" s="17">
        <v>18.37</v>
      </c>
      <c r="P161" s="17">
        <v>2.61</v>
      </c>
      <c r="Q161" s="17">
        <v>4.91</v>
      </c>
      <c r="R161" s="17">
        <v>-2.2999999999999998</v>
      </c>
      <c r="S161" s="17">
        <v>67.510000000000005</v>
      </c>
      <c r="T161" s="17">
        <v>54.57</v>
      </c>
      <c r="U161" s="17">
        <v>12.94</v>
      </c>
      <c r="V161" s="17">
        <v>39.9</v>
      </c>
      <c r="W161" s="17">
        <v>40.1</v>
      </c>
      <c r="X161" s="17">
        <v>339.78</v>
      </c>
      <c r="Y161" s="17">
        <v>2257</v>
      </c>
      <c r="Z161" s="17">
        <v>8.25</v>
      </c>
      <c r="AA161" s="17">
        <v>358.71</v>
      </c>
      <c r="AB161" s="17">
        <v>1984</v>
      </c>
      <c r="AC161" s="17">
        <v>7.76</v>
      </c>
      <c r="AD161" s="17">
        <v>360.01</v>
      </c>
      <c r="AE161" s="17">
        <v>1988</v>
      </c>
      <c r="AF161" s="17">
        <v>6.81</v>
      </c>
      <c r="AG161" s="17">
        <v>470</v>
      </c>
      <c r="AH161" s="17">
        <v>312</v>
      </c>
      <c r="AI161" s="17">
        <v>40.236281140000003</v>
      </c>
      <c r="AJ161" s="17">
        <v>24.323692210000001</v>
      </c>
      <c r="AK161" s="17">
        <v>-15.912589000000001</v>
      </c>
      <c r="AL161" s="17">
        <v>81.319999999999993</v>
      </c>
      <c r="AM161" s="17">
        <v>11681</v>
      </c>
      <c r="AN161" s="17">
        <v>11712</v>
      </c>
      <c r="AO161" s="17">
        <v>12037</v>
      </c>
      <c r="AP161" s="17">
        <v>12410</v>
      </c>
      <c r="AQ161" s="17">
        <v>12827</v>
      </c>
    </row>
    <row r="162" spans="1:43" ht="16" x14ac:dyDescent="0.2">
      <c r="A162" s="17">
        <v>211</v>
      </c>
      <c r="B162" s="17" t="s">
        <v>174</v>
      </c>
      <c r="C162" s="17">
        <v>9.83</v>
      </c>
      <c r="D162" s="17">
        <v>7.64</v>
      </c>
      <c r="E162" s="17">
        <v>2.19</v>
      </c>
      <c r="F162" s="17">
        <v>25.1</v>
      </c>
      <c r="G162" s="17">
        <v>26.8</v>
      </c>
      <c r="H162" s="17">
        <v>-1.7</v>
      </c>
      <c r="I162" s="17">
        <v>5.1100000000000003</v>
      </c>
      <c r="J162" s="17">
        <v>85.58</v>
      </c>
      <c r="K162" s="17">
        <v>11.21</v>
      </c>
      <c r="L162" s="17">
        <v>207.7</v>
      </c>
      <c r="M162" s="17">
        <v>21.93</v>
      </c>
      <c r="N162" s="17">
        <v>1.44</v>
      </c>
      <c r="O162" s="17">
        <v>20.49</v>
      </c>
      <c r="P162" s="17">
        <v>9.86</v>
      </c>
      <c r="Q162" s="17">
        <v>15.14</v>
      </c>
      <c r="R162" s="17">
        <v>-5.28</v>
      </c>
      <c r="S162" s="17">
        <v>64.63</v>
      </c>
      <c r="T162" s="17">
        <v>54.28</v>
      </c>
      <c r="U162" s="17">
        <v>10.35</v>
      </c>
      <c r="V162" s="17">
        <v>40.1</v>
      </c>
      <c r="W162" s="17">
        <v>39.700000000000003</v>
      </c>
      <c r="X162" s="17">
        <v>294.5</v>
      </c>
      <c r="Y162" s="17">
        <v>4199</v>
      </c>
      <c r="Z162" s="17">
        <v>15.43</v>
      </c>
      <c r="AA162" s="17">
        <v>384.93</v>
      </c>
      <c r="AB162" s="17">
        <v>3925</v>
      </c>
      <c r="AC162" s="17">
        <v>14.56</v>
      </c>
      <c r="AD162" s="17">
        <v>388.65</v>
      </c>
      <c r="AE162" s="17">
        <v>3728</v>
      </c>
      <c r="AF162" s="17">
        <v>13.94</v>
      </c>
      <c r="AG162" s="17">
        <v>1655</v>
      </c>
      <c r="AH162" s="17">
        <v>2977</v>
      </c>
      <c r="AI162" s="17">
        <v>62.052416479999998</v>
      </c>
      <c r="AJ162" s="17">
        <v>93.226442860000006</v>
      </c>
      <c r="AK162" s="17">
        <v>31.174026000000001</v>
      </c>
      <c r="AL162" s="17">
        <v>79.510000000000005</v>
      </c>
      <c r="AM162" s="17">
        <v>26671</v>
      </c>
      <c r="AN162" s="17">
        <v>28854</v>
      </c>
      <c r="AO162" s="17">
        <v>29682</v>
      </c>
      <c r="AP162" s="17">
        <v>30690</v>
      </c>
      <c r="AQ162" s="17">
        <v>31933</v>
      </c>
    </row>
    <row r="163" spans="1:43" ht="16" x14ac:dyDescent="0.2">
      <c r="A163" s="17">
        <v>1116</v>
      </c>
      <c r="B163" s="17" t="s">
        <v>175</v>
      </c>
      <c r="C163" s="17">
        <v>7.03</v>
      </c>
      <c r="D163" s="17">
        <v>2.5099999999999998</v>
      </c>
      <c r="E163" s="17">
        <v>4.5199999999999996</v>
      </c>
      <c r="F163" s="17">
        <v>17.899999999999999</v>
      </c>
      <c r="G163" s="17">
        <v>22.8</v>
      </c>
      <c r="H163" s="17">
        <v>-4.9000000000000004</v>
      </c>
      <c r="I163" s="17">
        <v>8.34</v>
      </c>
      <c r="J163" s="17">
        <v>88.78</v>
      </c>
      <c r="K163" s="17">
        <v>25.06</v>
      </c>
      <c r="L163" s="17">
        <v>137.9</v>
      </c>
      <c r="M163" s="17">
        <v>20.09</v>
      </c>
      <c r="N163" s="17">
        <v>2.52</v>
      </c>
      <c r="O163" s="17">
        <v>17.57</v>
      </c>
      <c r="P163" s="17">
        <v>3.39</v>
      </c>
      <c r="Q163" s="17">
        <v>7.43</v>
      </c>
      <c r="R163" s="17">
        <v>-4.04</v>
      </c>
      <c r="S163" s="17">
        <v>67.650000000000006</v>
      </c>
      <c r="T163" s="17">
        <v>55.99</v>
      </c>
      <c r="U163" s="17">
        <v>11.66</v>
      </c>
      <c r="V163" s="17">
        <v>42.4</v>
      </c>
      <c r="W163" s="17">
        <v>40.299999999999997</v>
      </c>
      <c r="X163" s="17">
        <v>284.07</v>
      </c>
      <c r="Y163" s="17">
        <v>19741</v>
      </c>
      <c r="Z163" s="17">
        <v>25.79</v>
      </c>
      <c r="AA163" s="17">
        <v>263.04000000000002</v>
      </c>
      <c r="AB163" s="17">
        <v>17660</v>
      </c>
      <c r="AC163" s="17">
        <v>24.57</v>
      </c>
      <c r="AD163" s="17">
        <v>257.27999999999997</v>
      </c>
      <c r="AE163" s="17">
        <v>17058</v>
      </c>
      <c r="AF163" s="17">
        <v>22.23</v>
      </c>
      <c r="AG163" s="17">
        <v>6078</v>
      </c>
      <c r="AH163" s="17">
        <v>4621</v>
      </c>
      <c r="AI163" s="17">
        <v>41.341314109999999</v>
      </c>
      <c r="AJ163" s="17">
        <v>30.573897389999999</v>
      </c>
      <c r="AK163" s="17">
        <v>-10.767417</v>
      </c>
      <c r="AL163" s="17">
        <v>94.74</v>
      </c>
      <c r="AM163" s="17">
        <v>147020</v>
      </c>
      <c r="AN163" s="17">
        <v>149469</v>
      </c>
      <c r="AO163" s="17">
        <v>148784</v>
      </c>
      <c r="AP163" s="17">
        <v>149121</v>
      </c>
      <c r="AQ163" s="17">
        <v>151142</v>
      </c>
    </row>
    <row r="164" spans="1:43" ht="16" x14ac:dyDescent="0.2">
      <c r="A164" s="17">
        <v>1110</v>
      </c>
      <c r="B164" s="17" t="s">
        <v>176</v>
      </c>
      <c r="C164" s="17">
        <v>3.07</v>
      </c>
      <c r="D164" s="17">
        <v>1.53</v>
      </c>
      <c r="E164" s="17">
        <v>1.54</v>
      </c>
      <c r="F164" s="17">
        <v>26.6</v>
      </c>
      <c r="G164" s="17">
        <v>23.3</v>
      </c>
      <c r="H164" s="17">
        <v>3.3</v>
      </c>
      <c r="I164" s="17">
        <v>7.37</v>
      </c>
      <c r="J164" s="17">
        <v>153.13</v>
      </c>
      <c r="K164" s="17">
        <v>40.76</v>
      </c>
      <c r="L164" s="17">
        <v>182</v>
      </c>
      <c r="M164" s="17">
        <v>11.61</v>
      </c>
      <c r="N164" s="17">
        <v>1.47</v>
      </c>
      <c r="O164" s="17">
        <v>10.14</v>
      </c>
      <c r="P164" s="17">
        <v>3.06</v>
      </c>
      <c r="Q164" s="17">
        <v>6.38</v>
      </c>
      <c r="R164" s="17">
        <v>-3.32</v>
      </c>
      <c r="S164" s="17">
        <v>73.41</v>
      </c>
      <c r="T164" s="17">
        <v>62.92</v>
      </c>
      <c r="U164" s="17">
        <v>10.49</v>
      </c>
      <c r="V164" s="17">
        <v>44.3</v>
      </c>
      <c r="W164" s="17">
        <v>44.1</v>
      </c>
      <c r="X164" s="17">
        <v>295.47000000000003</v>
      </c>
      <c r="Y164" s="17">
        <v>27777</v>
      </c>
      <c r="Z164" s="17">
        <v>13.45</v>
      </c>
      <c r="AA164" s="17">
        <v>291.02</v>
      </c>
      <c r="AB164" s="17">
        <v>25772</v>
      </c>
      <c r="AC164" s="17">
        <v>12.99</v>
      </c>
      <c r="AD164" s="17">
        <v>290.32</v>
      </c>
      <c r="AE164" s="17">
        <v>25493</v>
      </c>
      <c r="AF164" s="17">
        <v>11.48</v>
      </c>
      <c r="AG164" s="17">
        <v>6001</v>
      </c>
      <c r="AH164" s="17">
        <v>4519</v>
      </c>
      <c r="AI164" s="17">
        <v>34.925678900000001</v>
      </c>
      <c r="AJ164" s="17">
        <v>25.993672709999998</v>
      </c>
      <c r="AK164" s="17">
        <v>-8.9320062</v>
      </c>
      <c r="AL164" s="17">
        <v>165.5</v>
      </c>
      <c r="AM164" s="17">
        <v>171822</v>
      </c>
      <c r="AN164" s="17">
        <v>173419</v>
      </c>
      <c r="AO164" s="17">
        <v>171760</v>
      </c>
      <c r="AP164" s="17">
        <v>171836</v>
      </c>
      <c r="AQ164" s="17">
        <v>173850</v>
      </c>
    </row>
    <row r="165" spans="1:43" ht="16" x14ac:dyDescent="0.2">
      <c r="A165" s="17">
        <v>506</v>
      </c>
      <c r="B165" s="17" t="s">
        <v>177</v>
      </c>
      <c r="C165" s="17">
        <v>1.37</v>
      </c>
      <c r="D165" s="17">
        <v>0.72</v>
      </c>
      <c r="E165" s="17">
        <v>0.65</v>
      </c>
      <c r="F165" s="17">
        <v>29.3</v>
      </c>
      <c r="G165" s="17">
        <v>20.2</v>
      </c>
      <c r="H165" s="17">
        <v>9.1</v>
      </c>
      <c r="I165" s="17">
        <v>3.23</v>
      </c>
      <c r="J165" s="17">
        <v>65.81</v>
      </c>
      <c r="K165" s="17">
        <v>9.1199999999999992</v>
      </c>
      <c r="L165" s="17">
        <v>698.7</v>
      </c>
      <c r="M165" s="17">
        <v>15.5</v>
      </c>
      <c r="N165" s="17">
        <v>0.92</v>
      </c>
      <c r="O165" s="17">
        <v>14.58</v>
      </c>
      <c r="P165" s="17">
        <v>0.6</v>
      </c>
      <c r="Q165" s="17">
        <v>1.66</v>
      </c>
      <c r="R165" s="17">
        <v>-1.06</v>
      </c>
      <c r="S165" s="17">
        <v>67.23</v>
      </c>
      <c r="T165" s="17">
        <v>60.94</v>
      </c>
      <c r="U165" s="17">
        <v>6.29</v>
      </c>
      <c r="V165" s="17">
        <v>36.5</v>
      </c>
      <c r="W165" s="17">
        <v>36.6</v>
      </c>
      <c r="X165" s="17">
        <v>540.04</v>
      </c>
      <c r="Y165" s="17">
        <v>539</v>
      </c>
      <c r="Z165" s="17">
        <v>11.94</v>
      </c>
      <c r="AA165" s="17">
        <v>521.80999999999995</v>
      </c>
      <c r="AB165" s="17">
        <v>545</v>
      </c>
      <c r="AC165" s="17">
        <v>8.86</v>
      </c>
      <c r="AD165" s="17">
        <v>532.23</v>
      </c>
      <c r="AE165" s="17">
        <v>503</v>
      </c>
      <c r="AF165" s="17">
        <v>14.54</v>
      </c>
      <c r="AG165" s="17">
        <v>96</v>
      </c>
      <c r="AH165" s="17">
        <v>41</v>
      </c>
      <c r="AI165" s="17">
        <v>19.01743265</v>
      </c>
      <c r="AJ165" s="17">
        <v>8.4068074639999999</v>
      </c>
      <c r="AK165" s="17">
        <v>-10.610625000000001</v>
      </c>
      <c r="AL165" s="17">
        <v>66.59</v>
      </c>
      <c r="AM165" s="17">
        <v>5048</v>
      </c>
      <c r="AN165" s="17">
        <v>4840</v>
      </c>
      <c r="AO165" s="17">
        <v>4892</v>
      </c>
      <c r="AP165" s="17">
        <v>4933</v>
      </c>
      <c r="AQ165" s="17">
        <v>4877</v>
      </c>
    </row>
    <row r="166" spans="1:43" ht="16" x14ac:dyDescent="0.2">
      <c r="A166" s="17">
        <v>810</v>
      </c>
      <c r="B166" s="17" t="s">
        <v>178</v>
      </c>
      <c r="C166" s="17">
        <v>2.39</v>
      </c>
      <c r="D166" s="17">
        <v>1.96</v>
      </c>
      <c r="E166" s="17">
        <v>0.43</v>
      </c>
      <c r="F166" s="17">
        <v>45.8</v>
      </c>
      <c r="G166" s="17">
        <v>42.3</v>
      </c>
      <c r="H166" s="17">
        <v>3.5</v>
      </c>
      <c r="I166" s="17">
        <v>9.81</v>
      </c>
      <c r="J166" s="17">
        <v>82.75</v>
      </c>
      <c r="K166" s="17">
        <v>16.3</v>
      </c>
      <c r="L166" s="17">
        <v>167.9</v>
      </c>
      <c r="M166" s="17">
        <v>29.33</v>
      </c>
      <c r="N166" s="17">
        <v>2.2200000000000002</v>
      </c>
      <c r="O166" s="17">
        <v>27.11</v>
      </c>
      <c r="P166" s="17">
        <v>3.09</v>
      </c>
      <c r="Q166" s="17">
        <v>7.27</v>
      </c>
      <c r="R166" s="17">
        <v>-4.18</v>
      </c>
      <c r="S166" s="17">
        <v>60.13</v>
      </c>
      <c r="T166" s="17">
        <v>43.01</v>
      </c>
      <c r="U166" s="17">
        <v>17.12</v>
      </c>
      <c r="V166" s="17">
        <v>38.6</v>
      </c>
      <c r="W166" s="17">
        <v>39</v>
      </c>
      <c r="X166" s="17">
        <v>305.25</v>
      </c>
      <c r="Y166" s="17">
        <v>6436</v>
      </c>
      <c r="Z166" s="17">
        <v>29.54</v>
      </c>
      <c r="AA166" s="17">
        <v>306.60000000000002</v>
      </c>
      <c r="AB166" s="17">
        <v>5959</v>
      </c>
      <c r="AC166" s="17">
        <v>27.68</v>
      </c>
      <c r="AD166" s="17">
        <v>301.27999999999997</v>
      </c>
      <c r="AE166" s="17">
        <v>5810</v>
      </c>
      <c r="AF166" s="17">
        <v>20.82</v>
      </c>
      <c r="AG166" s="17">
        <v>2192</v>
      </c>
      <c r="AH166" s="17">
        <v>1513</v>
      </c>
      <c r="AI166" s="17">
        <v>49.579299740000003</v>
      </c>
      <c r="AJ166" s="17">
        <v>33.758004419999999</v>
      </c>
      <c r="AK166" s="17">
        <v>-15.821294999999999</v>
      </c>
      <c r="AL166" s="17">
        <v>84.47</v>
      </c>
      <c r="AM166" s="17">
        <v>44212</v>
      </c>
      <c r="AN166" s="17">
        <v>44417</v>
      </c>
      <c r="AO166" s="17">
        <v>44877</v>
      </c>
      <c r="AP166" s="17">
        <v>44623</v>
      </c>
      <c r="AQ166" s="17">
        <v>44819</v>
      </c>
    </row>
    <row r="167" spans="1:43" ht="16" x14ac:dyDescent="0.2">
      <c r="A167" s="17">
        <v>113</v>
      </c>
      <c r="B167" s="17" t="s">
        <v>179</v>
      </c>
      <c r="C167" s="17">
        <v>1.23</v>
      </c>
      <c r="D167" s="17">
        <v>0.26</v>
      </c>
      <c r="E167" s="17">
        <v>0.97</v>
      </c>
      <c r="F167" s="17">
        <v>18.3</v>
      </c>
      <c r="G167" s="17">
        <v>21.1</v>
      </c>
      <c r="H167" s="17">
        <v>-2.8</v>
      </c>
      <c r="I167" s="17">
        <v>6.06</v>
      </c>
      <c r="J167" s="17">
        <v>83.41</v>
      </c>
      <c r="K167" s="17">
        <v>13.8</v>
      </c>
      <c r="L167" s="17">
        <v>225.2</v>
      </c>
      <c r="M167" s="17">
        <v>16.62</v>
      </c>
      <c r="N167" s="17">
        <v>0.54</v>
      </c>
      <c r="O167" s="17">
        <v>16.079999999999998</v>
      </c>
      <c r="P167" s="17">
        <v>0.91</v>
      </c>
      <c r="Q167" s="17">
        <v>2.1</v>
      </c>
      <c r="R167" s="17">
        <v>-1.19</v>
      </c>
      <c r="S167" s="17">
        <v>67.23</v>
      </c>
      <c r="T167" s="17">
        <v>56.68</v>
      </c>
      <c r="U167" s="17">
        <v>10.55</v>
      </c>
      <c r="V167" s="17">
        <v>36.5</v>
      </c>
      <c r="W167" s="17">
        <v>37.4</v>
      </c>
      <c r="X167" s="17">
        <v>370.91</v>
      </c>
      <c r="Y167" s="17">
        <v>7926</v>
      </c>
      <c r="Z167" s="17">
        <v>9.99</v>
      </c>
      <c r="AA167" s="17">
        <v>370.11</v>
      </c>
      <c r="AB167" s="17">
        <v>7599</v>
      </c>
      <c r="AC167" s="17">
        <v>9.1</v>
      </c>
      <c r="AD167" s="17">
        <v>358.72</v>
      </c>
      <c r="AE167" s="17">
        <v>7571</v>
      </c>
      <c r="AF167" s="17">
        <v>11.74</v>
      </c>
      <c r="AG167" s="17">
        <v>2443</v>
      </c>
      <c r="AH167" s="17">
        <v>2411</v>
      </c>
      <c r="AI167" s="17">
        <v>36.875471699999999</v>
      </c>
      <c r="AJ167" s="17">
        <v>36.05557134</v>
      </c>
      <c r="AK167" s="17">
        <v>-0.81990039999999997</v>
      </c>
      <c r="AL167" s="17">
        <v>84.46</v>
      </c>
      <c r="AM167" s="17">
        <v>66250</v>
      </c>
      <c r="AN167" s="17">
        <v>66137</v>
      </c>
      <c r="AO167" s="17">
        <v>66460</v>
      </c>
      <c r="AP167" s="17">
        <v>66617</v>
      </c>
      <c r="AQ167" s="17">
        <v>66869</v>
      </c>
    </row>
    <row r="168" spans="1:43" ht="16" x14ac:dyDescent="0.2">
      <c r="A168" s="17">
        <v>1810</v>
      </c>
      <c r="B168" s="17" t="s">
        <v>180</v>
      </c>
      <c r="C168" s="17">
        <v>3.08</v>
      </c>
      <c r="D168" s="17">
        <v>0.95</v>
      </c>
      <c r="E168" s="17">
        <v>2.13</v>
      </c>
      <c r="F168" s="17">
        <v>27.1</v>
      </c>
      <c r="G168" s="17">
        <v>20.7</v>
      </c>
      <c r="H168" s="17">
        <v>6.4</v>
      </c>
      <c r="I168" s="17">
        <v>6.84</v>
      </c>
      <c r="J168" s="17">
        <v>78.540000000000006</v>
      </c>
      <c r="K168" s="17">
        <v>11.97</v>
      </c>
      <c r="L168" s="17">
        <v>212.5</v>
      </c>
      <c r="M168" s="17">
        <v>22.18</v>
      </c>
      <c r="N168" s="17">
        <v>0.69</v>
      </c>
      <c r="O168" s="17">
        <v>21.49</v>
      </c>
      <c r="P168" s="17">
        <v>1.18</v>
      </c>
      <c r="Q168" s="17">
        <v>2.34</v>
      </c>
      <c r="R168" s="17">
        <v>-1.1599999999999999</v>
      </c>
      <c r="S168" s="17">
        <v>68.58</v>
      </c>
      <c r="T168" s="17">
        <v>55.34</v>
      </c>
      <c r="U168" s="17">
        <v>13.24</v>
      </c>
      <c r="V168" s="17">
        <v>35</v>
      </c>
      <c r="W168" s="17">
        <v>35.5</v>
      </c>
      <c r="X168" s="17">
        <v>368.2</v>
      </c>
      <c r="Y168" s="17">
        <v>1197</v>
      </c>
      <c r="Z168" s="17">
        <v>6.4</v>
      </c>
      <c r="AA168" s="17">
        <v>353.04</v>
      </c>
      <c r="AB168" s="17">
        <v>1156</v>
      </c>
      <c r="AC168" s="17">
        <v>6.43</v>
      </c>
      <c r="AD168" s="17">
        <v>351.1</v>
      </c>
      <c r="AE168" s="17">
        <v>1159</v>
      </c>
      <c r="AF168" s="17">
        <v>4.2699999999999996</v>
      </c>
      <c r="AG168" s="17">
        <v>432</v>
      </c>
      <c r="AH168" s="17">
        <v>305</v>
      </c>
      <c r="AI168" s="17">
        <v>44.669630859999998</v>
      </c>
      <c r="AJ168" s="17">
        <v>31.694897640000001</v>
      </c>
      <c r="AK168" s="17">
        <v>-12.974733000000001</v>
      </c>
      <c r="AL168" s="17">
        <v>81.099999999999994</v>
      </c>
      <c r="AM168" s="17">
        <v>9671</v>
      </c>
      <c r="AN168" s="17">
        <v>9558</v>
      </c>
      <c r="AO168" s="17">
        <v>9567</v>
      </c>
      <c r="AP168" s="17">
        <v>9658</v>
      </c>
      <c r="AQ168" s="17">
        <v>9623</v>
      </c>
    </row>
    <row r="169" spans="1:43" ht="16" x14ac:dyDescent="0.2">
      <c r="A169" s="17">
        <v>114</v>
      </c>
      <c r="B169" s="17" t="s">
        <v>181</v>
      </c>
      <c r="C169" s="17">
        <v>2.99</v>
      </c>
      <c r="D169" s="17">
        <v>0.66</v>
      </c>
      <c r="E169" s="17">
        <v>2.33</v>
      </c>
      <c r="F169" s="17">
        <v>34.5</v>
      </c>
      <c r="G169" s="17">
        <v>28.5</v>
      </c>
      <c r="H169" s="17">
        <v>6</v>
      </c>
      <c r="I169" s="17">
        <v>4.59</v>
      </c>
      <c r="J169" s="17">
        <v>79.510000000000005</v>
      </c>
      <c r="K169" s="17">
        <v>17.48</v>
      </c>
      <c r="L169" s="17">
        <v>171.9</v>
      </c>
      <c r="M169" s="17">
        <v>22.44</v>
      </c>
      <c r="N169" s="17">
        <v>1.46</v>
      </c>
      <c r="O169" s="17">
        <v>20.98</v>
      </c>
      <c r="P169" s="17">
        <v>0.81</v>
      </c>
      <c r="Q169" s="17">
        <v>1.58</v>
      </c>
      <c r="R169" s="17">
        <v>-0.77</v>
      </c>
      <c r="S169" s="17">
        <v>64.2</v>
      </c>
      <c r="T169" s="17">
        <v>50.91</v>
      </c>
      <c r="U169" s="17">
        <v>13.29</v>
      </c>
      <c r="V169" s="17">
        <v>36.9</v>
      </c>
      <c r="W169" s="17">
        <v>37.9</v>
      </c>
      <c r="X169" s="17">
        <v>314.97000000000003</v>
      </c>
      <c r="Y169" s="17">
        <v>3143</v>
      </c>
      <c r="Z169" s="17">
        <v>20.83</v>
      </c>
      <c r="AA169" s="17">
        <v>305.89999999999998</v>
      </c>
      <c r="AB169" s="17">
        <v>2997</v>
      </c>
      <c r="AC169" s="17">
        <v>19.63</v>
      </c>
      <c r="AD169" s="17">
        <v>304.14999999999998</v>
      </c>
      <c r="AE169" s="17">
        <v>2953</v>
      </c>
      <c r="AF169" s="17">
        <v>21.48</v>
      </c>
      <c r="AG169" s="17">
        <v>744</v>
      </c>
      <c r="AH169" s="17">
        <v>614</v>
      </c>
      <c r="AI169" s="17">
        <v>32.721994989999999</v>
      </c>
      <c r="AJ169" s="17">
        <v>25.320631779999999</v>
      </c>
      <c r="AK169" s="17">
        <v>-7.4013631999999996</v>
      </c>
      <c r="AL169" s="17">
        <v>85.53</v>
      </c>
      <c r="AM169" s="17">
        <v>22737</v>
      </c>
      <c r="AN169" s="17">
        <v>23085</v>
      </c>
      <c r="AO169" s="17">
        <v>23299</v>
      </c>
      <c r="AP169" s="17">
        <v>23774</v>
      </c>
      <c r="AQ169" s="17">
        <v>24249</v>
      </c>
    </row>
    <row r="170" spans="1:43" ht="16" x14ac:dyDescent="0.2">
      <c r="A170" s="17">
        <v>611</v>
      </c>
      <c r="B170" s="17" t="s">
        <v>182</v>
      </c>
      <c r="C170" s="17">
        <v>1.46</v>
      </c>
      <c r="D170" s="17">
        <v>0.69</v>
      </c>
      <c r="E170" s="17">
        <v>0.77</v>
      </c>
      <c r="F170" s="17">
        <v>19.3</v>
      </c>
      <c r="G170" s="17">
        <v>16.7</v>
      </c>
      <c r="H170" s="17">
        <v>2.6</v>
      </c>
      <c r="I170" s="17">
        <v>5.74</v>
      </c>
      <c r="J170" s="17">
        <v>75.44</v>
      </c>
      <c r="K170" s="17">
        <v>12.73</v>
      </c>
      <c r="L170" s="17">
        <v>268.39999999999998</v>
      </c>
      <c r="M170" s="17">
        <v>16.649999999999999</v>
      </c>
      <c r="N170" s="17">
        <v>0.81</v>
      </c>
      <c r="O170" s="17">
        <v>15.84</v>
      </c>
      <c r="P170" s="17">
        <v>1.82</v>
      </c>
      <c r="Q170" s="17">
        <v>2.41</v>
      </c>
      <c r="R170" s="17">
        <v>-0.59</v>
      </c>
      <c r="S170" s="17">
        <v>66.959999999999994</v>
      </c>
      <c r="T170" s="17">
        <v>54.76</v>
      </c>
      <c r="U170" s="17">
        <v>12.2</v>
      </c>
      <c r="V170" s="17">
        <v>34.4</v>
      </c>
      <c r="W170" s="17">
        <v>35.4</v>
      </c>
      <c r="X170" s="17">
        <v>421.22</v>
      </c>
      <c r="Y170" s="17">
        <v>2006</v>
      </c>
      <c r="Z170" s="17">
        <v>17.39</v>
      </c>
      <c r="AA170" s="17">
        <v>423.2</v>
      </c>
      <c r="AB170" s="17">
        <v>1931</v>
      </c>
      <c r="AC170" s="17">
        <v>19.48</v>
      </c>
      <c r="AD170" s="17">
        <v>421.05</v>
      </c>
      <c r="AE170" s="17">
        <v>1917</v>
      </c>
      <c r="AF170" s="17">
        <v>15.02</v>
      </c>
      <c r="AG170" s="17">
        <v>734</v>
      </c>
      <c r="AH170" s="17">
        <v>521</v>
      </c>
      <c r="AI170" s="17">
        <v>37.119449779999997</v>
      </c>
      <c r="AJ170" s="17">
        <v>26.978044740000001</v>
      </c>
      <c r="AK170" s="17">
        <v>-10.141405000000001</v>
      </c>
      <c r="AL170" s="17">
        <v>75.099999999999994</v>
      </c>
      <c r="AM170" s="17">
        <v>19774</v>
      </c>
      <c r="AN170" s="17">
        <v>19462</v>
      </c>
      <c r="AO170" s="17">
        <v>19512</v>
      </c>
      <c r="AP170" s="17">
        <v>19472</v>
      </c>
      <c r="AQ170" s="17">
        <v>19312</v>
      </c>
    </row>
    <row r="171" spans="1:43" ht="16" x14ac:dyDescent="0.2">
      <c r="A171" s="17">
        <v>1421</v>
      </c>
      <c r="B171" s="17" t="s">
        <v>183</v>
      </c>
      <c r="C171" s="17">
        <v>2.2400000000000002</v>
      </c>
      <c r="D171" s="17">
        <v>0.91</v>
      </c>
      <c r="E171" s="17">
        <v>1.33</v>
      </c>
      <c r="F171" s="17">
        <v>26.6</v>
      </c>
      <c r="G171" s="17">
        <v>24.3</v>
      </c>
      <c r="H171" s="17">
        <v>2.2999999999999998</v>
      </c>
      <c r="I171" s="17">
        <v>4.76</v>
      </c>
      <c r="J171" s="17">
        <v>84.4</v>
      </c>
      <c r="K171" s="17">
        <v>16.149999999999999</v>
      </c>
      <c r="L171" s="17">
        <v>226.4</v>
      </c>
      <c r="M171" s="17">
        <v>23.42</v>
      </c>
      <c r="N171" s="17">
        <v>0.93</v>
      </c>
      <c r="O171" s="17">
        <v>22.49</v>
      </c>
      <c r="P171" s="17">
        <v>0.94</v>
      </c>
      <c r="Q171" s="17">
        <v>1.76</v>
      </c>
      <c r="R171" s="17">
        <v>-0.82</v>
      </c>
      <c r="S171" s="17">
        <v>65.73</v>
      </c>
      <c r="T171" s="17">
        <v>54.23</v>
      </c>
      <c r="U171" s="17">
        <v>11.5</v>
      </c>
      <c r="V171" s="17">
        <v>36.799999999999997</v>
      </c>
      <c r="W171" s="17">
        <v>37</v>
      </c>
      <c r="X171" s="17">
        <v>332.54</v>
      </c>
      <c r="Y171" s="17">
        <v>6019</v>
      </c>
      <c r="Z171" s="17">
        <v>12.16</v>
      </c>
      <c r="AA171" s="17">
        <v>334.91</v>
      </c>
      <c r="AB171" s="17">
        <v>5767</v>
      </c>
      <c r="AC171" s="17">
        <v>7.58</v>
      </c>
      <c r="AD171" s="17">
        <v>329.68</v>
      </c>
      <c r="AE171" s="17">
        <v>5663</v>
      </c>
      <c r="AF171" s="17">
        <v>6.45</v>
      </c>
      <c r="AG171" s="17">
        <v>1485</v>
      </c>
      <c r="AH171" s="17">
        <v>925</v>
      </c>
      <c r="AI171" s="17">
        <v>33.372286389999999</v>
      </c>
      <c r="AJ171" s="17">
        <v>20.242914979999998</v>
      </c>
      <c r="AK171" s="17">
        <v>-13.129371000000001</v>
      </c>
      <c r="AL171" s="17">
        <v>86.61</v>
      </c>
      <c r="AM171" s="17">
        <v>44498</v>
      </c>
      <c r="AN171" s="17">
        <v>44232</v>
      </c>
      <c r="AO171" s="17">
        <v>44788</v>
      </c>
      <c r="AP171" s="17">
        <v>45270</v>
      </c>
      <c r="AQ171" s="17">
        <v>45695</v>
      </c>
    </row>
    <row r="172" spans="1:43" ht="16" x14ac:dyDescent="0.2">
      <c r="A172" s="17">
        <v>212</v>
      </c>
      <c r="B172" s="17" t="s">
        <v>184</v>
      </c>
      <c r="C172" s="17">
        <v>1.55</v>
      </c>
      <c r="D172" s="17">
        <v>1.02</v>
      </c>
      <c r="E172" s="17">
        <v>0.53</v>
      </c>
      <c r="F172" s="17">
        <v>30.9</v>
      </c>
      <c r="G172" s="17">
        <v>32.4</v>
      </c>
      <c r="H172" s="17">
        <v>-1.5</v>
      </c>
      <c r="I172" s="17">
        <v>7.13</v>
      </c>
      <c r="J172" s="17">
        <v>77.81</v>
      </c>
      <c r="K172" s="17">
        <v>9.7100000000000009</v>
      </c>
      <c r="L172" s="17">
        <v>307.7</v>
      </c>
      <c r="M172" s="17">
        <v>15.46</v>
      </c>
      <c r="N172" s="17">
        <v>1.68</v>
      </c>
      <c r="O172" s="17">
        <v>13.78</v>
      </c>
      <c r="P172" s="17">
        <v>7.14</v>
      </c>
      <c r="Q172" s="17">
        <v>13.06</v>
      </c>
      <c r="R172" s="17">
        <v>-5.92</v>
      </c>
      <c r="S172" s="17">
        <v>68.819999999999993</v>
      </c>
      <c r="T172" s="17">
        <v>56.48</v>
      </c>
      <c r="U172" s="17">
        <v>12.34</v>
      </c>
      <c r="V172" s="17">
        <v>37.200000000000003</v>
      </c>
      <c r="W172" s="17">
        <v>37.6</v>
      </c>
      <c r="X172" s="17">
        <v>474.22</v>
      </c>
      <c r="Y172" s="17">
        <v>715</v>
      </c>
      <c r="Z172" s="17">
        <v>16.399999999999999</v>
      </c>
      <c r="AA172" s="17">
        <v>507.91</v>
      </c>
      <c r="AB172" s="17">
        <v>715</v>
      </c>
      <c r="AC172" s="17">
        <v>16.940000000000001</v>
      </c>
      <c r="AD172" s="17">
        <v>515.15</v>
      </c>
      <c r="AE172" s="17">
        <v>724</v>
      </c>
      <c r="AF172" s="17">
        <v>25.1</v>
      </c>
      <c r="AG172" s="17">
        <v>214</v>
      </c>
      <c r="AH172" s="17">
        <v>156</v>
      </c>
      <c r="AI172" s="17">
        <v>42.451894469999999</v>
      </c>
      <c r="AJ172" s="17">
        <v>32.371861379999999</v>
      </c>
      <c r="AK172" s="17">
        <v>-10.080033</v>
      </c>
      <c r="AL172" s="17">
        <v>75.599999999999994</v>
      </c>
      <c r="AM172" s="17">
        <v>5041</v>
      </c>
      <c r="AN172" s="17">
        <v>4879</v>
      </c>
      <c r="AO172" s="17">
        <v>4855</v>
      </c>
      <c r="AP172" s="17">
        <v>4823</v>
      </c>
      <c r="AQ172" s="17">
        <v>4819</v>
      </c>
    </row>
    <row r="173" spans="1:43" ht="16" x14ac:dyDescent="0.2">
      <c r="A173" s="17">
        <v>115</v>
      </c>
      <c r="B173" s="17" t="s">
        <v>185</v>
      </c>
      <c r="C173" s="17">
        <v>1.23</v>
      </c>
      <c r="D173" s="17">
        <v>0.32</v>
      </c>
      <c r="E173" s="17">
        <v>0.91</v>
      </c>
      <c r="F173" s="17">
        <v>27.1</v>
      </c>
      <c r="G173" s="17">
        <v>25.6</v>
      </c>
      <c r="H173" s="17">
        <v>1.5</v>
      </c>
      <c r="I173" s="17">
        <v>7.12</v>
      </c>
      <c r="J173" s="17">
        <v>89.25</v>
      </c>
      <c r="K173" s="17">
        <v>18.77</v>
      </c>
      <c r="L173" s="17">
        <v>189.7</v>
      </c>
      <c r="M173" s="17">
        <v>14.94</v>
      </c>
      <c r="N173" s="17">
        <v>0.54</v>
      </c>
      <c r="O173" s="17">
        <v>14.4</v>
      </c>
      <c r="P173" s="17">
        <v>1.99</v>
      </c>
      <c r="Q173" s="17">
        <v>4.95</v>
      </c>
      <c r="R173" s="17">
        <v>-2.96</v>
      </c>
      <c r="S173" s="17">
        <v>65.81</v>
      </c>
      <c r="T173" s="17">
        <v>55.28</v>
      </c>
      <c r="U173" s="17">
        <v>10.53</v>
      </c>
      <c r="V173" s="17">
        <v>38.4</v>
      </c>
      <c r="W173" s="17">
        <v>38.700000000000003</v>
      </c>
      <c r="X173" s="17">
        <v>337.69</v>
      </c>
      <c r="Y173" s="17">
        <v>6395</v>
      </c>
      <c r="Z173" s="17">
        <v>25.41</v>
      </c>
      <c r="AA173" s="17">
        <v>339.63</v>
      </c>
      <c r="AB173" s="17">
        <v>6080</v>
      </c>
      <c r="AC173" s="17">
        <v>26.24</v>
      </c>
      <c r="AD173" s="17">
        <v>333.61</v>
      </c>
      <c r="AE173" s="17">
        <v>5987</v>
      </c>
      <c r="AF173" s="17">
        <v>28.69</v>
      </c>
      <c r="AG173" s="17">
        <v>2740</v>
      </c>
      <c r="AH173" s="17">
        <v>1998</v>
      </c>
      <c r="AI173" s="17">
        <v>50.200619260000003</v>
      </c>
      <c r="AJ173" s="17">
        <v>35.750711260000003</v>
      </c>
      <c r="AK173" s="17">
        <v>-14.449908000000001</v>
      </c>
      <c r="AL173" s="17">
        <v>89.06</v>
      </c>
      <c r="AM173" s="17">
        <v>54581</v>
      </c>
      <c r="AN173" s="17">
        <v>54868</v>
      </c>
      <c r="AO173" s="17">
        <v>55192</v>
      </c>
      <c r="AP173" s="17">
        <v>55584</v>
      </c>
      <c r="AQ173" s="17">
        <v>55887</v>
      </c>
    </row>
    <row r="174" spans="1:43" ht="16" x14ac:dyDescent="0.2">
      <c r="A174" s="17">
        <v>1309</v>
      </c>
      <c r="B174" s="17" t="s">
        <v>186</v>
      </c>
      <c r="C174" s="17">
        <v>0.77</v>
      </c>
      <c r="D174" s="17">
        <v>0.14000000000000001</v>
      </c>
      <c r="E174" s="17">
        <v>0.63</v>
      </c>
      <c r="F174" s="17">
        <v>22.4</v>
      </c>
      <c r="G174" s="17">
        <v>21.6</v>
      </c>
      <c r="H174" s="17">
        <v>0.8</v>
      </c>
      <c r="I174" s="17">
        <v>7.67</v>
      </c>
      <c r="J174" s="17">
        <v>80.5</v>
      </c>
      <c r="K174" s="17">
        <v>11.34</v>
      </c>
      <c r="L174" s="17">
        <v>145.4</v>
      </c>
      <c r="M174" s="17">
        <v>19.350000000000001</v>
      </c>
      <c r="N174" s="17">
        <v>0.51</v>
      </c>
      <c r="O174" s="17">
        <v>18.84</v>
      </c>
      <c r="P174" s="17">
        <v>1.8</v>
      </c>
      <c r="Q174" s="17">
        <v>3.02</v>
      </c>
      <c r="R174" s="17">
        <v>-1.22</v>
      </c>
      <c r="S174" s="17">
        <v>70.06</v>
      </c>
      <c r="T174" s="17">
        <v>56.58</v>
      </c>
      <c r="U174" s="17">
        <v>13.48</v>
      </c>
      <c r="V174" s="17">
        <v>35.5</v>
      </c>
      <c r="W174" s="17">
        <v>36</v>
      </c>
      <c r="X174" s="17">
        <v>267.57</v>
      </c>
      <c r="Y174" s="17">
        <v>5980</v>
      </c>
      <c r="Z174" s="17">
        <v>27.09</v>
      </c>
      <c r="AA174" s="17">
        <v>257.52</v>
      </c>
      <c r="AB174" s="17">
        <v>5688</v>
      </c>
      <c r="AC174" s="17">
        <v>29.41</v>
      </c>
      <c r="AD174" s="17">
        <v>243.87</v>
      </c>
      <c r="AE174" s="17">
        <v>5605</v>
      </c>
      <c r="AF174" s="17">
        <v>33.729999999999997</v>
      </c>
      <c r="AG174" s="17">
        <v>2773</v>
      </c>
      <c r="AH174" s="17">
        <v>1739</v>
      </c>
      <c r="AI174" s="17">
        <v>49.767583770000002</v>
      </c>
      <c r="AJ174" s="17">
        <v>31.119143909999998</v>
      </c>
      <c r="AK174" s="17">
        <v>-18.648440000000001</v>
      </c>
      <c r="AL174" s="17">
        <v>82.37</v>
      </c>
      <c r="AM174" s="17">
        <v>55719</v>
      </c>
      <c r="AN174" s="17">
        <v>55761</v>
      </c>
      <c r="AO174" s="17">
        <v>55824</v>
      </c>
      <c r="AP174" s="17">
        <v>55743</v>
      </c>
      <c r="AQ174" s="17">
        <v>55882</v>
      </c>
    </row>
    <row r="175" spans="1:43" ht="16" x14ac:dyDescent="0.2">
      <c r="A175" s="17">
        <v>1508</v>
      </c>
      <c r="B175" s="17" t="s">
        <v>187</v>
      </c>
      <c r="C175" s="17">
        <v>2.0299999999999998</v>
      </c>
      <c r="D175" s="17">
        <v>0.67</v>
      </c>
      <c r="E175" s="17">
        <v>1.36</v>
      </c>
      <c r="F175" s="17">
        <v>33.5</v>
      </c>
      <c r="G175" s="17">
        <v>33.299999999999997</v>
      </c>
      <c r="H175" s="17">
        <v>0.2</v>
      </c>
      <c r="I175" s="17">
        <v>7.95</v>
      </c>
      <c r="J175" s="17">
        <v>100.84</v>
      </c>
      <c r="K175" s="17">
        <v>21.3</v>
      </c>
      <c r="L175" s="17">
        <v>154.30000000000001</v>
      </c>
      <c r="M175" s="17">
        <v>23.78</v>
      </c>
      <c r="N175" s="17">
        <v>2.0099999999999998</v>
      </c>
      <c r="O175" s="17">
        <v>21.77</v>
      </c>
      <c r="P175" s="17">
        <v>6.44</v>
      </c>
      <c r="Q175" s="17">
        <v>13.91</v>
      </c>
      <c r="R175" s="17">
        <v>-7.47</v>
      </c>
      <c r="S175" s="17">
        <v>68.22</v>
      </c>
      <c r="T175" s="17">
        <v>52.94</v>
      </c>
      <c r="U175" s="17">
        <v>15.28</v>
      </c>
      <c r="V175" s="17">
        <v>40.799999999999997</v>
      </c>
      <c r="W175" s="17">
        <v>41.2</v>
      </c>
      <c r="X175" s="17">
        <v>286.14999999999998</v>
      </c>
      <c r="Y175" s="17">
        <v>7831</v>
      </c>
      <c r="Z175" s="17">
        <v>15.15</v>
      </c>
      <c r="AA175" s="17">
        <v>318.57</v>
      </c>
      <c r="AB175" s="17">
        <v>7337</v>
      </c>
      <c r="AC175" s="17">
        <v>15.46</v>
      </c>
      <c r="AD175" s="17">
        <v>313.83</v>
      </c>
      <c r="AE175" s="17">
        <v>7029</v>
      </c>
      <c r="AF175" s="17">
        <v>14.26</v>
      </c>
      <c r="AG175" s="17">
        <v>3212</v>
      </c>
      <c r="AH175" s="17">
        <v>2535</v>
      </c>
      <c r="AI175" s="17">
        <v>48.888144779999998</v>
      </c>
      <c r="AJ175" s="17">
        <v>35.37883969</v>
      </c>
      <c r="AK175" s="17">
        <v>-13.509304999999999</v>
      </c>
      <c r="AL175" s="17">
        <v>97.68</v>
      </c>
      <c r="AM175" s="17">
        <v>65701</v>
      </c>
      <c r="AN175" s="17">
        <v>67333</v>
      </c>
      <c r="AO175" s="17">
        <v>69496</v>
      </c>
      <c r="AP175" s="17">
        <v>70262</v>
      </c>
      <c r="AQ175" s="17">
        <v>71653</v>
      </c>
    </row>
    <row r="176" spans="1:43" ht="16" x14ac:dyDescent="0.2">
      <c r="A176" s="17">
        <v>612</v>
      </c>
      <c r="B176" s="17" t="s">
        <v>188</v>
      </c>
      <c r="C176" s="17">
        <v>0.32</v>
      </c>
      <c r="D176" s="17">
        <v>0.22</v>
      </c>
      <c r="E176" s="17">
        <v>0.1</v>
      </c>
      <c r="F176" s="17">
        <v>17.899999999999999</v>
      </c>
      <c r="G176" s="17">
        <v>21</v>
      </c>
      <c r="H176" s="17">
        <v>-3.1</v>
      </c>
      <c r="I176" s="17">
        <v>3.86</v>
      </c>
      <c r="J176" s="17">
        <v>64.87</v>
      </c>
      <c r="K176" s="17">
        <v>5.98</v>
      </c>
      <c r="L176" s="17">
        <v>640.1</v>
      </c>
      <c r="M176" s="17">
        <v>14.76</v>
      </c>
      <c r="N176" s="17">
        <v>0.72</v>
      </c>
      <c r="O176" s="17">
        <v>14.04</v>
      </c>
      <c r="P176" s="17">
        <v>1.69</v>
      </c>
      <c r="Q176" s="17">
        <v>3.31</v>
      </c>
      <c r="R176" s="17">
        <v>-1.62</v>
      </c>
      <c r="S176" s="17">
        <v>59</v>
      </c>
      <c r="T176" s="17">
        <v>53.42</v>
      </c>
      <c r="U176" s="17">
        <v>5.58</v>
      </c>
      <c r="V176" s="17">
        <v>32.299999999999997</v>
      </c>
      <c r="W176" s="17">
        <v>33.299999999999997</v>
      </c>
      <c r="X176" s="17">
        <v>478.05</v>
      </c>
      <c r="Y176" s="17">
        <v>277</v>
      </c>
      <c r="Z176" s="17">
        <v>24.25</v>
      </c>
      <c r="AA176" s="17">
        <v>499.87</v>
      </c>
      <c r="AB176" s="17">
        <v>258</v>
      </c>
      <c r="AC176" s="17">
        <v>15.49</v>
      </c>
      <c r="AD176" s="17">
        <v>501.47</v>
      </c>
      <c r="AE176" s="17">
        <v>263</v>
      </c>
      <c r="AF176" s="17">
        <v>18.93</v>
      </c>
      <c r="AG176" s="17">
        <v>78</v>
      </c>
      <c r="AH176" s="17">
        <v>43</v>
      </c>
      <c r="AI176" s="17">
        <v>18.73648811</v>
      </c>
      <c r="AJ176" s="17">
        <v>10.554737360000001</v>
      </c>
      <c r="AK176" s="17">
        <v>-8.1817507999999997</v>
      </c>
      <c r="AL176" s="17">
        <v>64.95</v>
      </c>
      <c r="AM176" s="17">
        <v>4163</v>
      </c>
      <c r="AN176" s="17">
        <v>4105</v>
      </c>
      <c r="AO176" s="17">
        <v>4082</v>
      </c>
      <c r="AP176" s="17">
        <v>4072</v>
      </c>
      <c r="AQ176" s="17">
        <v>4074</v>
      </c>
    </row>
    <row r="177" spans="1:43" ht="16" x14ac:dyDescent="0.2">
      <c r="A177" s="17">
        <v>1310</v>
      </c>
      <c r="B177" s="17" t="s">
        <v>189</v>
      </c>
      <c r="C177" s="17">
        <v>0.86</v>
      </c>
      <c r="D177" s="17">
        <v>0.2</v>
      </c>
      <c r="E177" s="17">
        <v>0.66</v>
      </c>
      <c r="F177" s="17">
        <v>22.6</v>
      </c>
      <c r="G177" s="17">
        <v>20.8</v>
      </c>
      <c r="H177" s="17">
        <v>1.8</v>
      </c>
      <c r="I177" s="17">
        <v>8.73</v>
      </c>
      <c r="J177" s="17">
        <v>79.03</v>
      </c>
      <c r="K177" s="17">
        <v>13.19</v>
      </c>
      <c r="L177" s="17">
        <v>140.6</v>
      </c>
      <c r="M177" s="17">
        <v>18.649999999999999</v>
      </c>
      <c r="N177" s="17">
        <v>0.7</v>
      </c>
      <c r="O177" s="17">
        <v>17.95</v>
      </c>
      <c r="P177" s="17">
        <v>1.45</v>
      </c>
      <c r="Q177" s="17">
        <v>2.9</v>
      </c>
      <c r="R177" s="17">
        <v>-1.45</v>
      </c>
      <c r="S177" s="17">
        <v>71.569999999999993</v>
      </c>
      <c r="T177" s="17">
        <v>60.43</v>
      </c>
      <c r="U177" s="17">
        <v>11.14</v>
      </c>
      <c r="V177" s="17">
        <v>38</v>
      </c>
      <c r="W177" s="17">
        <v>39</v>
      </c>
      <c r="X177" s="17">
        <v>258.27</v>
      </c>
      <c r="Y177" s="17">
        <v>9127</v>
      </c>
      <c r="Z177" s="17">
        <v>31.61</v>
      </c>
      <c r="AA177" s="17">
        <v>251.78</v>
      </c>
      <c r="AB177" s="17">
        <v>8619</v>
      </c>
      <c r="AC177" s="17">
        <v>32.090000000000003</v>
      </c>
      <c r="AD177" s="17">
        <v>241.94</v>
      </c>
      <c r="AE177" s="17">
        <v>8304</v>
      </c>
      <c r="AF177" s="17">
        <v>37.78</v>
      </c>
      <c r="AG177" s="17">
        <v>4635</v>
      </c>
      <c r="AH177" s="17">
        <v>2852</v>
      </c>
      <c r="AI177" s="17">
        <v>54.804076899999998</v>
      </c>
      <c r="AJ177" s="17">
        <v>33.401651340000001</v>
      </c>
      <c r="AK177" s="17">
        <v>-21.402425999999998</v>
      </c>
      <c r="AL177" s="17">
        <v>79.33</v>
      </c>
      <c r="AM177" s="17">
        <v>84574</v>
      </c>
      <c r="AN177" s="17">
        <v>84335</v>
      </c>
      <c r="AO177" s="17">
        <v>84711</v>
      </c>
      <c r="AP177" s="17">
        <v>84972</v>
      </c>
      <c r="AQ177" s="17">
        <v>85385</v>
      </c>
    </row>
    <row r="178" spans="1:43" ht="16" x14ac:dyDescent="0.2">
      <c r="A178" s="17">
        <v>1605</v>
      </c>
      <c r="B178" s="17" t="s">
        <v>190</v>
      </c>
      <c r="C178" s="17">
        <v>1.1599999999999999</v>
      </c>
      <c r="D178" s="17">
        <v>0.43</v>
      </c>
      <c r="E178" s="17">
        <v>0.73</v>
      </c>
      <c r="F178" s="17">
        <v>27.7</v>
      </c>
      <c r="G178" s="17">
        <v>22.3</v>
      </c>
      <c r="H178" s="17">
        <v>5.4</v>
      </c>
      <c r="I178" s="17">
        <v>5.64</v>
      </c>
      <c r="J178" s="17">
        <v>67.27</v>
      </c>
      <c r="K178" s="17">
        <v>10.23</v>
      </c>
      <c r="L178" s="17">
        <v>316.39999999999998</v>
      </c>
      <c r="M178" s="17">
        <v>18.36</v>
      </c>
      <c r="N178" s="17">
        <v>0.87</v>
      </c>
      <c r="O178" s="17">
        <v>17.489999999999998</v>
      </c>
      <c r="P178" s="17">
        <v>1.96</v>
      </c>
      <c r="Q178" s="17">
        <v>3.41</v>
      </c>
      <c r="R178" s="17">
        <v>-1.45</v>
      </c>
      <c r="S178" s="17">
        <v>58.34</v>
      </c>
      <c r="T178" s="17">
        <v>48.65</v>
      </c>
      <c r="U178" s="17">
        <v>9.69</v>
      </c>
      <c r="V178" s="17">
        <v>36.1</v>
      </c>
      <c r="W178" s="17">
        <v>36.200000000000003</v>
      </c>
      <c r="X178" s="17">
        <v>369.68</v>
      </c>
      <c r="Y178" s="17">
        <v>1172</v>
      </c>
      <c r="Z178" s="17">
        <v>9.56</v>
      </c>
      <c r="AA178" s="17">
        <v>383.45</v>
      </c>
      <c r="AB178" s="17">
        <v>1116</v>
      </c>
      <c r="AC178" s="17">
        <v>8.99</v>
      </c>
      <c r="AD178" s="17">
        <v>379.45</v>
      </c>
      <c r="AE178" s="17">
        <v>1106</v>
      </c>
      <c r="AF178" s="17">
        <v>7.25</v>
      </c>
      <c r="AG178" s="17">
        <v>297</v>
      </c>
      <c r="AH178" s="17">
        <v>296</v>
      </c>
      <c r="AI178" s="17">
        <v>34.024515979999997</v>
      </c>
      <c r="AJ178" s="17">
        <v>34.117104660000003</v>
      </c>
      <c r="AK178" s="17">
        <v>9.2588699999999996E-2</v>
      </c>
      <c r="AL178" s="17">
        <v>69.37</v>
      </c>
      <c r="AM178" s="17">
        <v>8729</v>
      </c>
      <c r="AN178" s="17">
        <v>8698</v>
      </c>
      <c r="AO178" s="17">
        <v>8723</v>
      </c>
      <c r="AP178" s="17">
        <v>8683</v>
      </c>
      <c r="AQ178" s="17">
        <v>8676</v>
      </c>
    </row>
    <row r="179" spans="1:43" ht="16" x14ac:dyDescent="0.2">
      <c r="A179" s="17">
        <v>1013</v>
      </c>
      <c r="B179" s="17" t="s">
        <v>191</v>
      </c>
      <c r="C179" s="17">
        <v>4.28</v>
      </c>
      <c r="D179" s="17">
        <v>2.79</v>
      </c>
      <c r="E179" s="17">
        <v>1.49</v>
      </c>
      <c r="F179" s="17">
        <v>21</v>
      </c>
      <c r="G179" s="17">
        <v>35.6</v>
      </c>
      <c r="H179" s="17">
        <v>-14.6</v>
      </c>
      <c r="I179" s="17">
        <v>8.44</v>
      </c>
      <c r="J179" s="17">
        <v>70.17</v>
      </c>
      <c r="K179" s="17">
        <v>9.58</v>
      </c>
      <c r="L179" s="17">
        <v>411.3</v>
      </c>
      <c r="M179" s="17">
        <v>16.95</v>
      </c>
      <c r="N179" s="17">
        <v>2.73</v>
      </c>
      <c r="O179" s="17">
        <v>14.22</v>
      </c>
      <c r="P179" s="17">
        <v>1.04</v>
      </c>
      <c r="Q179" s="17">
        <v>1.76</v>
      </c>
      <c r="R179" s="17">
        <v>-0.72</v>
      </c>
      <c r="S179" s="17">
        <v>63.71</v>
      </c>
      <c r="T179" s="17">
        <v>55.31</v>
      </c>
      <c r="U179" s="17">
        <v>8.4</v>
      </c>
      <c r="V179" s="17">
        <v>35.6</v>
      </c>
      <c r="W179" s="17">
        <v>35.4</v>
      </c>
      <c r="X179" s="17">
        <v>477.13</v>
      </c>
      <c r="Y179" s="17">
        <v>455</v>
      </c>
      <c r="Z179" s="17">
        <v>37.5</v>
      </c>
      <c r="AA179" s="17">
        <v>506.6</v>
      </c>
      <c r="AB179" s="17">
        <v>433</v>
      </c>
      <c r="AC179" s="17">
        <v>38.46</v>
      </c>
      <c r="AD179" s="17">
        <v>520.92999999999995</v>
      </c>
      <c r="AE179" s="17">
        <v>429</v>
      </c>
      <c r="AF179" s="17">
        <v>30.79</v>
      </c>
      <c r="AG179" s="17">
        <v>124</v>
      </c>
      <c r="AH179" s="17">
        <v>49</v>
      </c>
      <c r="AI179" s="17">
        <v>34.753363229999998</v>
      </c>
      <c r="AJ179" s="17">
        <v>13.90070922</v>
      </c>
      <c r="AK179" s="17">
        <v>-20.852654000000001</v>
      </c>
      <c r="AL179" s="17">
        <v>69.67</v>
      </c>
      <c r="AM179" s="17">
        <v>3568</v>
      </c>
      <c r="AN179" s="17">
        <v>3430</v>
      </c>
      <c r="AO179" s="17">
        <v>3444</v>
      </c>
      <c r="AP179" s="17">
        <v>3503</v>
      </c>
      <c r="AQ179" s="17">
        <v>3525</v>
      </c>
    </row>
    <row r="180" spans="1:43" ht="16" x14ac:dyDescent="0.2">
      <c r="A180" s="17">
        <v>613</v>
      </c>
      <c r="B180" s="17" t="s">
        <v>192</v>
      </c>
      <c r="C180" s="17">
        <v>0.73</v>
      </c>
      <c r="D180" s="17">
        <v>0.54</v>
      </c>
      <c r="E180" s="17">
        <v>0.19</v>
      </c>
      <c r="F180" s="17">
        <v>18.600000000000001</v>
      </c>
      <c r="G180" s="17">
        <v>14.8</v>
      </c>
      <c r="H180" s="17">
        <v>3.8</v>
      </c>
      <c r="I180" s="17">
        <v>3.84</v>
      </c>
      <c r="J180" s="17">
        <v>64.61</v>
      </c>
      <c r="K180" s="17">
        <v>11.15</v>
      </c>
      <c r="L180" s="17">
        <v>371</v>
      </c>
      <c r="M180" s="17">
        <v>14.46</v>
      </c>
      <c r="N180" s="17">
        <v>0.64</v>
      </c>
      <c r="O180" s="17">
        <v>13.82</v>
      </c>
      <c r="P180" s="17">
        <v>2.4</v>
      </c>
      <c r="Q180" s="17">
        <v>4.6500000000000004</v>
      </c>
      <c r="R180" s="17">
        <v>-2.25</v>
      </c>
      <c r="S180" s="17">
        <v>61.62</v>
      </c>
      <c r="T180" s="17">
        <v>51.35</v>
      </c>
      <c r="U180" s="17">
        <v>10.27</v>
      </c>
      <c r="V180" s="17">
        <v>34.5</v>
      </c>
      <c r="W180" s="17">
        <v>35.1</v>
      </c>
      <c r="X180" s="17">
        <v>424.9</v>
      </c>
      <c r="Y180" s="17">
        <v>1590</v>
      </c>
      <c r="Z180" s="17">
        <v>13.69</v>
      </c>
      <c r="AA180" s="17">
        <v>399.52</v>
      </c>
      <c r="AB180" s="17">
        <v>1609</v>
      </c>
      <c r="AC180" s="17">
        <v>11.3</v>
      </c>
      <c r="AD180" s="17">
        <v>394.33</v>
      </c>
      <c r="AE180" s="17">
        <v>1579</v>
      </c>
      <c r="AF180" s="17">
        <v>10.88</v>
      </c>
      <c r="AG180" s="17">
        <v>462</v>
      </c>
      <c r="AH180" s="17">
        <v>229</v>
      </c>
      <c r="AI180" s="17">
        <v>33.20635377</v>
      </c>
      <c r="AJ180" s="17">
        <v>17.768466790000002</v>
      </c>
      <c r="AK180" s="17">
        <v>-15.437887</v>
      </c>
      <c r="AL180" s="17">
        <v>69.709999999999994</v>
      </c>
      <c r="AM180" s="17">
        <v>13913</v>
      </c>
      <c r="AN180" s="17">
        <v>13315</v>
      </c>
      <c r="AO180" s="17">
        <v>13177</v>
      </c>
      <c r="AP180" s="17">
        <v>13017</v>
      </c>
      <c r="AQ180" s="17">
        <v>12888</v>
      </c>
    </row>
    <row r="181" spans="1:43" ht="16" x14ac:dyDescent="0.2">
      <c r="A181" s="17">
        <v>1311</v>
      </c>
      <c r="B181" s="17" t="s">
        <v>193</v>
      </c>
      <c r="C181" s="17">
        <v>0.55000000000000004</v>
      </c>
      <c r="D181" s="17">
        <v>0.16</v>
      </c>
      <c r="E181" s="17">
        <v>0.39</v>
      </c>
      <c r="F181" s="17">
        <v>22.8</v>
      </c>
      <c r="G181" s="17">
        <v>21.8</v>
      </c>
      <c r="H181" s="17">
        <v>1</v>
      </c>
      <c r="I181" s="17">
        <v>8.0299999999999994</v>
      </c>
      <c r="J181" s="17">
        <v>79.72</v>
      </c>
      <c r="K181" s="17">
        <v>12.57</v>
      </c>
      <c r="L181" s="17">
        <v>156.9</v>
      </c>
      <c r="M181" s="17">
        <v>16.53</v>
      </c>
      <c r="N181" s="17">
        <v>0.57999999999999996</v>
      </c>
      <c r="O181" s="17">
        <v>15.95</v>
      </c>
      <c r="P181" s="17">
        <v>1.48</v>
      </c>
      <c r="Q181" s="17">
        <v>2.85</v>
      </c>
      <c r="R181" s="17">
        <v>-1.37</v>
      </c>
      <c r="S181" s="17">
        <v>72.069999999999993</v>
      </c>
      <c r="T181" s="17">
        <v>61.13</v>
      </c>
      <c r="U181" s="17">
        <v>10.94</v>
      </c>
      <c r="V181" s="17">
        <v>37.9</v>
      </c>
      <c r="W181" s="17">
        <v>38.299999999999997</v>
      </c>
      <c r="X181" s="17">
        <v>283.02999999999997</v>
      </c>
      <c r="Y181" s="17">
        <v>7084</v>
      </c>
      <c r="Z181" s="17">
        <v>28.82</v>
      </c>
      <c r="AA181" s="17">
        <v>279.87</v>
      </c>
      <c r="AB181" s="17">
        <v>6701</v>
      </c>
      <c r="AC181" s="17">
        <v>30.53</v>
      </c>
      <c r="AD181" s="17">
        <v>269.39</v>
      </c>
      <c r="AE181" s="17">
        <v>6361</v>
      </c>
      <c r="AF181" s="17">
        <v>38.19</v>
      </c>
      <c r="AG181" s="17">
        <v>3654</v>
      </c>
      <c r="AH181" s="17">
        <v>2101</v>
      </c>
      <c r="AI181" s="17">
        <v>52.123304279999999</v>
      </c>
      <c r="AJ181" s="17">
        <v>30.0147145</v>
      </c>
      <c r="AK181" s="17">
        <v>-22.10859</v>
      </c>
      <c r="AL181" s="17">
        <v>80.36</v>
      </c>
      <c r="AM181" s="17">
        <v>70103</v>
      </c>
      <c r="AN181" s="17">
        <v>69776</v>
      </c>
      <c r="AO181" s="17">
        <v>69915</v>
      </c>
      <c r="AP181" s="17">
        <v>69850</v>
      </c>
      <c r="AQ181" s="17">
        <v>69999</v>
      </c>
    </row>
    <row r="182" spans="1:43" ht="16" x14ac:dyDescent="0.2">
      <c r="A182" s="17">
        <v>1811</v>
      </c>
      <c r="B182" s="17" t="s">
        <v>194</v>
      </c>
      <c r="C182" s="17">
        <v>0.42</v>
      </c>
      <c r="D182" s="17">
        <v>0.04</v>
      </c>
      <c r="E182" s="17">
        <v>0.38</v>
      </c>
      <c r="F182" s="17">
        <v>17.8</v>
      </c>
      <c r="G182" s="17">
        <v>18</v>
      </c>
      <c r="H182" s="17">
        <v>-0.2</v>
      </c>
      <c r="I182" s="17">
        <v>7.61</v>
      </c>
      <c r="J182" s="17">
        <v>60.36</v>
      </c>
      <c r="K182" s="17">
        <v>9.24</v>
      </c>
      <c r="L182" s="17">
        <v>379.4</v>
      </c>
      <c r="M182" s="17">
        <v>17.059999999999999</v>
      </c>
      <c r="N182" s="17">
        <v>0.82</v>
      </c>
      <c r="O182" s="17">
        <v>16.239999999999998</v>
      </c>
      <c r="P182" s="17">
        <v>1.42</v>
      </c>
      <c r="Q182" s="17">
        <v>2.37</v>
      </c>
      <c r="R182" s="17">
        <v>-0.95</v>
      </c>
      <c r="S182" s="17">
        <v>60.26</v>
      </c>
      <c r="T182" s="17">
        <v>50.76</v>
      </c>
      <c r="U182" s="17">
        <v>9.5</v>
      </c>
      <c r="V182" s="17">
        <v>35.4</v>
      </c>
      <c r="W182" s="17">
        <v>35.9</v>
      </c>
      <c r="X182" s="17">
        <v>407.26</v>
      </c>
      <c r="Y182" s="17">
        <v>884</v>
      </c>
      <c r="Z182" s="17">
        <v>21.89</v>
      </c>
      <c r="AA182" s="17">
        <v>415.44</v>
      </c>
      <c r="AB182" s="17">
        <v>860</v>
      </c>
      <c r="AC182" s="17">
        <v>20.02</v>
      </c>
      <c r="AD182" s="17">
        <v>408.81</v>
      </c>
      <c r="AE182" s="17">
        <v>871</v>
      </c>
      <c r="AF182" s="17">
        <v>29.22</v>
      </c>
      <c r="AG182" s="17">
        <v>304</v>
      </c>
      <c r="AH182" s="17">
        <v>204</v>
      </c>
      <c r="AI182" s="17">
        <v>40.690670590000003</v>
      </c>
      <c r="AJ182" s="17">
        <v>28.021978019999999</v>
      </c>
      <c r="AK182" s="17">
        <v>-12.668692999999999</v>
      </c>
      <c r="AL182" s="17">
        <v>65.75</v>
      </c>
      <c r="AM182" s="17">
        <v>7471</v>
      </c>
      <c r="AN182" s="17">
        <v>7315</v>
      </c>
      <c r="AO182" s="17">
        <v>7368</v>
      </c>
      <c r="AP182" s="17">
        <v>7330</v>
      </c>
      <c r="AQ182" s="17">
        <v>7280</v>
      </c>
    </row>
    <row r="183" spans="1:43" ht="16" x14ac:dyDescent="0.2">
      <c r="A183" s="17">
        <v>507</v>
      </c>
      <c r="B183" s="17" t="s">
        <v>195</v>
      </c>
      <c r="C183" s="17">
        <v>1.84</v>
      </c>
      <c r="D183" s="17">
        <v>2.23</v>
      </c>
      <c r="E183" s="17">
        <v>-0.39</v>
      </c>
      <c r="F183" s="17">
        <v>41.9</v>
      </c>
      <c r="G183" s="17">
        <v>33.1</v>
      </c>
      <c r="H183" s="17">
        <v>8.8000000000000007</v>
      </c>
      <c r="I183" s="17">
        <v>7.35</v>
      </c>
      <c r="J183" s="17">
        <v>59.96</v>
      </c>
      <c r="K183" s="17">
        <v>9.11</v>
      </c>
      <c r="L183" s="17">
        <v>618.4</v>
      </c>
      <c r="M183" s="17">
        <v>23.95</v>
      </c>
      <c r="N183" s="17">
        <v>1.23</v>
      </c>
      <c r="O183" s="17">
        <v>22.72</v>
      </c>
      <c r="P183" s="17">
        <v>1.27</v>
      </c>
      <c r="Q183" s="17">
        <v>3.39</v>
      </c>
      <c r="R183" s="17">
        <v>-2.12</v>
      </c>
      <c r="S183" s="17">
        <v>62.19</v>
      </c>
      <c r="T183" s="17">
        <v>50.61</v>
      </c>
      <c r="U183" s="17">
        <v>11.58</v>
      </c>
      <c r="V183" s="17">
        <v>34.1</v>
      </c>
      <c r="W183" s="17">
        <v>34.6</v>
      </c>
      <c r="X183" s="17">
        <v>445.42</v>
      </c>
      <c r="Y183" s="17">
        <v>521</v>
      </c>
      <c r="Z183" s="17">
        <v>30.92</v>
      </c>
      <c r="AA183" s="17">
        <v>454.05</v>
      </c>
      <c r="AB183" s="17">
        <v>479</v>
      </c>
      <c r="AC183" s="17">
        <v>25.16</v>
      </c>
      <c r="AD183" s="17">
        <v>465.5</v>
      </c>
      <c r="AE183" s="17">
        <v>467</v>
      </c>
      <c r="AF183" s="17">
        <v>22.47</v>
      </c>
      <c r="AG183" s="17">
        <v>112</v>
      </c>
      <c r="AH183" s="17">
        <v>74</v>
      </c>
      <c r="AI183" s="17">
        <v>22.571543729999998</v>
      </c>
      <c r="AJ183" s="17">
        <v>15.58550969</v>
      </c>
      <c r="AK183" s="17">
        <v>-6.9860340000000001</v>
      </c>
      <c r="AL183" s="17">
        <v>61.24</v>
      </c>
      <c r="AM183" s="17">
        <v>4962</v>
      </c>
      <c r="AN183" s="17">
        <v>4774</v>
      </c>
      <c r="AO183" s="17">
        <v>4787</v>
      </c>
      <c r="AP183" s="17">
        <v>4796</v>
      </c>
      <c r="AQ183" s="17">
        <v>4748</v>
      </c>
    </row>
    <row r="184" spans="1:43" ht="16" x14ac:dyDescent="0.2">
      <c r="A184" s="17">
        <v>1812</v>
      </c>
      <c r="B184" s="17" t="s">
        <v>196</v>
      </c>
      <c r="C184" s="17">
        <v>0.68</v>
      </c>
      <c r="D184" s="17">
        <v>0.11</v>
      </c>
      <c r="E184" s="17">
        <v>0.56999999999999995</v>
      </c>
      <c r="F184" s="17">
        <v>16</v>
      </c>
      <c r="G184" s="17">
        <v>19.899999999999999</v>
      </c>
      <c r="H184" s="17">
        <v>-3.9</v>
      </c>
      <c r="I184" s="17">
        <v>5.52</v>
      </c>
      <c r="J184" s="17">
        <v>62.99</v>
      </c>
      <c r="K184" s="17">
        <v>9.57</v>
      </c>
      <c r="L184" s="17">
        <v>456.9</v>
      </c>
      <c r="M184" s="17">
        <v>21.45</v>
      </c>
      <c r="N184" s="17">
        <v>0.22</v>
      </c>
      <c r="O184" s="17">
        <v>21.23</v>
      </c>
      <c r="P184" s="17">
        <v>1.63</v>
      </c>
      <c r="Q184" s="17">
        <v>1.85</v>
      </c>
      <c r="R184" s="17">
        <v>-0.22</v>
      </c>
      <c r="S184" s="17">
        <v>54.82</v>
      </c>
      <c r="T184" s="17">
        <v>45.17</v>
      </c>
      <c r="U184" s="17">
        <v>9.65</v>
      </c>
      <c r="V184" s="17">
        <v>29.8</v>
      </c>
      <c r="W184" s="17">
        <v>30</v>
      </c>
      <c r="X184" s="17">
        <v>328.91</v>
      </c>
      <c r="Y184" s="17">
        <v>654</v>
      </c>
      <c r="Z184" s="17">
        <v>37.07</v>
      </c>
      <c r="AA184" s="17">
        <v>360.07</v>
      </c>
      <c r="AB184" s="17">
        <v>680</v>
      </c>
      <c r="AC184" s="17">
        <v>32.4</v>
      </c>
      <c r="AD184" s="17">
        <v>356.05</v>
      </c>
      <c r="AE184" s="17">
        <v>672</v>
      </c>
      <c r="AF184" s="17">
        <v>24.63</v>
      </c>
      <c r="AG184" s="17">
        <v>67</v>
      </c>
      <c r="AH184" s="17">
        <v>37</v>
      </c>
      <c r="AI184" s="17">
        <v>23.85190459</v>
      </c>
      <c r="AJ184" s="17">
        <v>13.25689717</v>
      </c>
      <c r="AK184" s="17">
        <v>-10.595007000000001</v>
      </c>
      <c r="AL184" s="17">
        <v>66.11</v>
      </c>
      <c r="AM184" s="17">
        <v>2809</v>
      </c>
      <c r="AN184" s="17">
        <v>2768</v>
      </c>
      <c r="AO184" s="17">
        <v>2780</v>
      </c>
      <c r="AP184" s="17">
        <v>2795</v>
      </c>
      <c r="AQ184" s="17">
        <v>2791</v>
      </c>
    </row>
    <row r="185" spans="1:43" ht="16" x14ac:dyDescent="0.2">
      <c r="A185" s="17">
        <v>614</v>
      </c>
      <c r="B185" s="17" t="s">
        <v>197</v>
      </c>
      <c r="C185" s="17">
        <v>2.58</v>
      </c>
      <c r="D185" s="17">
        <v>1.01</v>
      </c>
      <c r="E185" s="17">
        <v>1.57</v>
      </c>
      <c r="F185" s="17">
        <v>21.9</v>
      </c>
      <c r="G185" s="17">
        <v>28.6</v>
      </c>
      <c r="H185" s="17">
        <v>-6.7</v>
      </c>
      <c r="I185" s="17">
        <v>4.3600000000000003</v>
      </c>
      <c r="J185" s="17">
        <v>73.56</v>
      </c>
      <c r="K185" s="17">
        <v>14.39</v>
      </c>
      <c r="L185" s="17">
        <v>289.60000000000002</v>
      </c>
      <c r="M185" s="17">
        <v>16</v>
      </c>
      <c r="N185" s="17">
        <v>1.01</v>
      </c>
      <c r="O185" s="17">
        <v>14.99</v>
      </c>
      <c r="P185" s="17">
        <v>1.03</v>
      </c>
      <c r="Q185" s="17">
        <v>2.76</v>
      </c>
      <c r="R185" s="17">
        <v>-1.73</v>
      </c>
      <c r="S185" s="17">
        <v>62.21</v>
      </c>
      <c r="T185" s="17">
        <v>53.34</v>
      </c>
      <c r="U185" s="17">
        <v>8.8699999999999992</v>
      </c>
      <c r="V185" s="17">
        <v>36.9</v>
      </c>
      <c r="W185" s="17">
        <v>37.6</v>
      </c>
      <c r="X185" s="17">
        <v>421.04</v>
      </c>
      <c r="Y185" s="17">
        <v>686</v>
      </c>
      <c r="Z185" s="17">
        <v>11.78</v>
      </c>
      <c r="AA185" s="17">
        <v>432.74</v>
      </c>
      <c r="AB185" s="17">
        <v>653</v>
      </c>
      <c r="AC185" s="17">
        <v>10.34</v>
      </c>
      <c r="AD185" s="17">
        <v>445.32</v>
      </c>
      <c r="AE185" s="17">
        <v>644</v>
      </c>
      <c r="AF185" s="17">
        <v>11.97</v>
      </c>
      <c r="AG185" s="17">
        <v>144</v>
      </c>
      <c r="AH185" s="17">
        <v>79</v>
      </c>
      <c r="AI185" s="17">
        <v>25.73266619</v>
      </c>
      <c r="AJ185" s="17">
        <v>14.272809390000001</v>
      </c>
      <c r="AK185" s="17">
        <v>-11.459857</v>
      </c>
      <c r="AL185" s="17">
        <v>77.5</v>
      </c>
      <c r="AM185" s="17">
        <v>5596</v>
      </c>
      <c r="AN185" s="17">
        <v>5453</v>
      </c>
      <c r="AO185" s="17">
        <v>5472</v>
      </c>
      <c r="AP185" s="17">
        <v>5501</v>
      </c>
      <c r="AQ185" s="17">
        <v>5535</v>
      </c>
    </row>
    <row r="186" spans="1:43" ht="16" x14ac:dyDescent="0.2">
      <c r="A186" s="17">
        <v>1014</v>
      </c>
      <c r="B186" s="17" t="s">
        <v>198</v>
      </c>
      <c r="C186" s="17">
        <v>2.8</v>
      </c>
      <c r="D186" s="17">
        <v>1.07</v>
      </c>
      <c r="E186" s="17">
        <v>1.73</v>
      </c>
      <c r="F186" s="17">
        <v>37.6</v>
      </c>
      <c r="G186" s="17">
        <v>33.299999999999997</v>
      </c>
      <c r="H186" s="17">
        <v>4.3</v>
      </c>
      <c r="I186" s="17">
        <v>7.05</v>
      </c>
      <c r="J186" s="17">
        <v>85.5</v>
      </c>
      <c r="K186" s="17">
        <v>15.2</v>
      </c>
      <c r="L186" s="17">
        <v>200.2</v>
      </c>
      <c r="M186" s="17">
        <v>23.64</v>
      </c>
      <c r="N186" s="17">
        <v>2.1</v>
      </c>
      <c r="O186" s="17">
        <v>21.54</v>
      </c>
      <c r="P186" s="17">
        <v>4.34</v>
      </c>
      <c r="Q186" s="17">
        <v>7.54</v>
      </c>
      <c r="R186" s="17">
        <v>-3.2</v>
      </c>
      <c r="S186" s="17">
        <v>60.91</v>
      </c>
      <c r="T186" s="17">
        <v>45.9</v>
      </c>
      <c r="U186" s="17">
        <v>15.01</v>
      </c>
      <c r="V186" s="17">
        <v>38.200000000000003</v>
      </c>
      <c r="W186" s="17">
        <v>38.1</v>
      </c>
      <c r="X186" s="17">
        <v>383.79</v>
      </c>
      <c r="Y186" s="17">
        <v>3503</v>
      </c>
      <c r="Z186" s="17">
        <v>19.89</v>
      </c>
      <c r="AA186" s="17">
        <v>385.63</v>
      </c>
      <c r="AB186" s="17">
        <v>3297</v>
      </c>
      <c r="AC186" s="17">
        <v>16.86</v>
      </c>
      <c r="AD186" s="17">
        <v>382.99</v>
      </c>
      <c r="AE186" s="17">
        <v>3246</v>
      </c>
      <c r="AF186" s="17">
        <v>13.32</v>
      </c>
      <c r="AG186" s="17">
        <v>1818</v>
      </c>
      <c r="AH186" s="17">
        <v>1330</v>
      </c>
      <c r="AI186" s="17">
        <v>67.894088210000007</v>
      </c>
      <c r="AJ186" s="17">
        <v>48.99613188</v>
      </c>
      <c r="AK186" s="17">
        <v>-18.897956000000001</v>
      </c>
      <c r="AL186" s="17">
        <v>87.72</v>
      </c>
      <c r="AM186" s="17">
        <v>26777</v>
      </c>
      <c r="AN186" s="17">
        <v>26515</v>
      </c>
      <c r="AO186" s="17">
        <v>26588</v>
      </c>
      <c r="AP186" s="17">
        <v>26742</v>
      </c>
      <c r="AQ186" s="17">
        <v>27145</v>
      </c>
    </row>
    <row r="187" spans="1:43" ht="16" x14ac:dyDescent="0.2">
      <c r="A187" s="17">
        <v>1708</v>
      </c>
      <c r="B187" s="17" t="s">
        <v>199</v>
      </c>
      <c r="C187" s="17">
        <v>0.4</v>
      </c>
      <c r="D187" s="17">
        <v>0.09</v>
      </c>
      <c r="E187" s="17">
        <v>0.31</v>
      </c>
      <c r="F187" s="17">
        <v>21.6</v>
      </c>
      <c r="G187" s="17">
        <v>18.899999999999999</v>
      </c>
      <c r="H187" s="17">
        <v>2.7</v>
      </c>
      <c r="I187" s="17">
        <v>9.51</v>
      </c>
      <c r="J187" s="17">
        <v>82.93</v>
      </c>
      <c r="K187" s="17">
        <v>14.19</v>
      </c>
      <c r="L187" s="17">
        <v>282.8</v>
      </c>
      <c r="M187" s="17">
        <v>17.64</v>
      </c>
      <c r="N187" s="17">
        <v>0.86</v>
      </c>
      <c r="O187" s="17">
        <v>16.78</v>
      </c>
      <c r="P187" s="17">
        <v>2</v>
      </c>
      <c r="Q187" s="17">
        <v>3.51</v>
      </c>
      <c r="R187" s="17">
        <v>-1.51</v>
      </c>
      <c r="S187" s="17">
        <v>55.91</v>
      </c>
      <c r="T187" s="17">
        <v>44.73</v>
      </c>
      <c r="U187" s="17">
        <v>11.18</v>
      </c>
      <c r="V187" s="17">
        <v>38.1</v>
      </c>
      <c r="W187" s="17">
        <v>40.1</v>
      </c>
      <c r="X187" s="17">
        <v>397.36</v>
      </c>
      <c r="Y187" s="17">
        <v>2511</v>
      </c>
      <c r="Z187" s="17">
        <v>70.81</v>
      </c>
      <c r="AA187" s="17">
        <v>365.61</v>
      </c>
      <c r="AB187" s="17">
        <v>2489</v>
      </c>
      <c r="AC187" s="17">
        <v>65.83</v>
      </c>
      <c r="AD187" s="17">
        <v>357.72</v>
      </c>
      <c r="AE187" s="17">
        <v>2538</v>
      </c>
      <c r="AF187" s="17">
        <v>73.33</v>
      </c>
      <c r="AG187" s="17">
        <v>676</v>
      </c>
      <c r="AH187" s="17">
        <v>378</v>
      </c>
      <c r="AI187" s="17">
        <v>43.802241950000003</v>
      </c>
      <c r="AJ187" s="17">
        <v>26.200873359999999</v>
      </c>
      <c r="AK187" s="17">
        <v>-17.601368999999998</v>
      </c>
      <c r="AL187" s="17">
        <v>84.76</v>
      </c>
      <c r="AM187" s="17">
        <v>15433</v>
      </c>
      <c r="AN187" s="17">
        <v>14773</v>
      </c>
      <c r="AO187" s="17">
        <v>14628</v>
      </c>
      <c r="AP187" s="17">
        <v>14494</v>
      </c>
      <c r="AQ187" s="17">
        <v>14427</v>
      </c>
    </row>
    <row r="188" spans="1:43" ht="16" x14ac:dyDescent="0.2">
      <c r="A188" s="17">
        <v>910</v>
      </c>
      <c r="B188" s="17" t="s">
        <v>200</v>
      </c>
      <c r="C188" s="17">
        <v>0.51</v>
      </c>
      <c r="D188" s="17">
        <v>0.05</v>
      </c>
      <c r="E188" s="17">
        <v>0.46</v>
      </c>
      <c r="F188" s="17">
        <v>25.5</v>
      </c>
      <c r="G188" s="17">
        <v>36.799999999999997</v>
      </c>
      <c r="H188" s="17">
        <v>-11.3</v>
      </c>
      <c r="I188" s="17">
        <v>5.48</v>
      </c>
      <c r="J188" s="17">
        <v>64.02</v>
      </c>
      <c r="K188" s="17">
        <v>10.91</v>
      </c>
      <c r="L188" s="17">
        <v>529.9</v>
      </c>
      <c r="M188" s="17">
        <v>17.809999999999999</v>
      </c>
      <c r="N188" s="17">
        <v>1.1299999999999999</v>
      </c>
      <c r="O188" s="17">
        <v>16.68</v>
      </c>
      <c r="P188" s="17">
        <v>1.42</v>
      </c>
      <c r="Q188" s="17">
        <v>2.69</v>
      </c>
      <c r="R188" s="17">
        <v>-1.27</v>
      </c>
      <c r="S188" s="17">
        <v>56.89</v>
      </c>
      <c r="T188" s="17">
        <v>44.58</v>
      </c>
      <c r="U188" s="17">
        <v>12.31</v>
      </c>
      <c r="V188" s="17">
        <v>36</v>
      </c>
      <c r="W188" s="17">
        <v>37.299999999999997</v>
      </c>
      <c r="X188" s="17">
        <v>500.69</v>
      </c>
      <c r="Y188" s="17">
        <v>1707</v>
      </c>
      <c r="Z188" s="17">
        <v>20.12</v>
      </c>
      <c r="AA188" s="17">
        <v>477.15</v>
      </c>
      <c r="AB188" s="17">
        <v>1723</v>
      </c>
      <c r="AC188" s="17">
        <v>18.670000000000002</v>
      </c>
      <c r="AD188" s="17">
        <v>474.71</v>
      </c>
      <c r="AE188" s="17">
        <v>1794</v>
      </c>
      <c r="AF188" s="17">
        <v>18.690000000000001</v>
      </c>
      <c r="AG188" s="17">
        <v>232</v>
      </c>
      <c r="AH188" s="17">
        <v>125</v>
      </c>
      <c r="AI188" s="17">
        <v>26.768201220000002</v>
      </c>
      <c r="AJ188" s="17">
        <v>15.828795749999999</v>
      </c>
      <c r="AK188" s="17">
        <v>-10.939405000000001</v>
      </c>
      <c r="AL188" s="17">
        <v>70.02</v>
      </c>
      <c r="AM188" s="17">
        <v>8667</v>
      </c>
      <c r="AN188" s="17">
        <v>8342</v>
      </c>
      <c r="AO188" s="17">
        <v>8168</v>
      </c>
      <c r="AP188" s="17">
        <v>8003</v>
      </c>
      <c r="AQ188" s="17">
        <v>7897</v>
      </c>
    </row>
    <row r="189" spans="1:43" ht="16" x14ac:dyDescent="0.2">
      <c r="A189" s="17">
        <v>1015</v>
      </c>
      <c r="B189" s="17" t="s">
        <v>201</v>
      </c>
      <c r="C189" s="17">
        <v>2.54</v>
      </c>
      <c r="D189" s="17">
        <v>0.61</v>
      </c>
      <c r="E189" s="17">
        <v>1.93</v>
      </c>
      <c r="F189" s="17">
        <v>22.1</v>
      </c>
      <c r="G189" s="17">
        <v>26.2</v>
      </c>
      <c r="H189" s="17">
        <v>-4.0999999999999996</v>
      </c>
      <c r="I189" s="17">
        <v>4.5199999999999996</v>
      </c>
      <c r="J189" s="17">
        <v>82.72</v>
      </c>
      <c r="K189" s="17">
        <v>13.17</v>
      </c>
      <c r="L189" s="17">
        <v>261.39999999999998</v>
      </c>
      <c r="M189" s="17">
        <v>20.72</v>
      </c>
      <c r="N189" s="17">
        <v>1.82</v>
      </c>
      <c r="O189" s="17">
        <v>18.899999999999999</v>
      </c>
      <c r="P189" s="17">
        <v>1.22</v>
      </c>
      <c r="Q189" s="17">
        <v>1.86</v>
      </c>
      <c r="R189" s="17">
        <v>-0.64</v>
      </c>
      <c r="S189" s="17">
        <v>60.73</v>
      </c>
      <c r="T189" s="17">
        <v>47.07</v>
      </c>
      <c r="U189" s="17">
        <v>13.66</v>
      </c>
      <c r="V189" s="17">
        <v>36.1</v>
      </c>
      <c r="W189" s="17">
        <v>36.200000000000003</v>
      </c>
      <c r="X189" s="17">
        <v>372.23</v>
      </c>
      <c r="Y189" s="17">
        <v>6748</v>
      </c>
      <c r="Z189" s="17">
        <v>18.64</v>
      </c>
      <c r="AA189" s="17">
        <v>366</v>
      </c>
      <c r="AB189" s="17">
        <v>6478</v>
      </c>
      <c r="AC189" s="17">
        <v>16.16</v>
      </c>
      <c r="AD189" s="17">
        <v>362.63</v>
      </c>
      <c r="AE189" s="17">
        <v>6315</v>
      </c>
      <c r="AF189" s="17">
        <v>16.04</v>
      </c>
      <c r="AG189" s="17">
        <v>1361</v>
      </c>
      <c r="AH189" s="17">
        <v>914</v>
      </c>
      <c r="AI189" s="17">
        <v>26.06580611</v>
      </c>
      <c r="AJ189" s="17">
        <v>17.798375950000001</v>
      </c>
      <c r="AK189" s="17">
        <v>-8.2674301999999997</v>
      </c>
      <c r="AL189" s="17">
        <v>85.22</v>
      </c>
      <c r="AM189" s="17">
        <v>52214</v>
      </c>
      <c r="AN189" s="17">
        <v>51164</v>
      </c>
      <c r="AO189" s="17">
        <v>51498</v>
      </c>
      <c r="AP189" s="17">
        <v>51441</v>
      </c>
      <c r="AQ189" s="17">
        <v>51353</v>
      </c>
    </row>
    <row r="190" spans="1:43" ht="16" x14ac:dyDescent="0.2">
      <c r="A190" s="17">
        <v>1606</v>
      </c>
      <c r="B190" s="17" t="s">
        <v>202</v>
      </c>
      <c r="C190" s="17">
        <v>0.59</v>
      </c>
      <c r="D190" s="17">
        <v>0.25</v>
      </c>
      <c r="E190" s="17">
        <v>0.34</v>
      </c>
      <c r="F190" s="17">
        <v>29</v>
      </c>
      <c r="G190" s="17">
        <v>23.8</v>
      </c>
      <c r="H190" s="17">
        <v>5.2</v>
      </c>
      <c r="I190" s="17">
        <v>5.98</v>
      </c>
      <c r="J190" s="17">
        <v>65.540000000000006</v>
      </c>
      <c r="K190" s="17">
        <v>11.11</v>
      </c>
      <c r="L190" s="17">
        <v>301.10000000000002</v>
      </c>
      <c r="M190" s="17">
        <v>15.35</v>
      </c>
      <c r="N190" s="17">
        <v>0.39</v>
      </c>
      <c r="O190" s="17">
        <v>14.96</v>
      </c>
      <c r="P190" s="17">
        <v>1.25</v>
      </c>
      <c r="Q190" s="17">
        <v>2.16</v>
      </c>
      <c r="R190" s="17">
        <v>-0.91</v>
      </c>
      <c r="S190" s="17">
        <v>54.12</v>
      </c>
      <c r="T190" s="17">
        <v>45.31</v>
      </c>
      <c r="U190" s="17">
        <v>8.81</v>
      </c>
      <c r="V190" s="17">
        <v>38</v>
      </c>
      <c r="W190" s="17">
        <v>38.799999999999997</v>
      </c>
      <c r="X190" s="17">
        <v>387.84</v>
      </c>
      <c r="Y190" s="17">
        <v>1393</v>
      </c>
      <c r="Z190" s="17">
        <v>11.5</v>
      </c>
      <c r="AA190" s="17">
        <v>388.42</v>
      </c>
      <c r="AB190" s="17">
        <v>1361</v>
      </c>
      <c r="AC190" s="17">
        <v>8.39</v>
      </c>
      <c r="AD190" s="17">
        <v>382.27</v>
      </c>
      <c r="AE190" s="17">
        <v>1363</v>
      </c>
      <c r="AF190" s="17">
        <v>12.67</v>
      </c>
      <c r="AG190" s="17">
        <v>322</v>
      </c>
      <c r="AH190" s="17">
        <v>209</v>
      </c>
      <c r="AI190" s="17">
        <v>28.28779759</v>
      </c>
      <c r="AJ190" s="17">
        <v>18.82035119</v>
      </c>
      <c r="AK190" s="17">
        <v>-9.4674464</v>
      </c>
      <c r="AL190" s="17">
        <v>67.150000000000006</v>
      </c>
      <c r="AM190" s="17">
        <v>11383</v>
      </c>
      <c r="AN190" s="17">
        <v>11174</v>
      </c>
      <c r="AO190" s="17">
        <v>11125</v>
      </c>
      <c r="AP190" s="17">
        <v>11050</v>
      </c>
      <c r="AQ190" s="17">
        <v>11105</v>
      </c>
    </row>
    <row r="191" spans="1:43" ht="16" x14ac:dyDescent="0.2">
      <c r="A191" s="17">
        <v>1607</v>
      </c>
      <c r="B191" s="17" t="s">
        <v>203</v>
      </c>
      <c r="C191" s="17">
        <v>1.0900000000000001</v>
      </c>
      <c r="D191" s="17">
        <v>0.22</v>
      </c>
      <c r="E191" s="17">
        <v>0.87</v>
      </c>
      <c r="F191" s="17">
        <v>22.4</v>
      </c>
      <c r="G191" s="17">
        <v>22</v>
      </c>
      <c r="H191" s="17">
        <v>0.4</v>
      </c>
      <c r="I191" s="17">
        <v>5.19</v>
      </c>
      <c r="J191" s="17">
        <v>72.239999999999995</v>
      </c>
      <c r="K191" s="17">
        <v>13.26</v>
      </c>
      <c r="L191" s="17">
        <v>226.6</v>
      </c>
      <c r="M191" s="17">
        <v>19.170000000000002</v>
      </c>
      <c r="N191" s="17">
        <v>0.64</v>
      </c>
      <c r="O191" s="17">
        <v>18.53</v>
      </c>
      <c r="P191" s="17">
        <v>1.62</v>
      </c>
      <c r="Q191" s="17">
        <v>2.98</v>
      </c>
      <c r="R191" s="17">
        <v>-1.36</v>
      </c>
      <c r="S191" s="17">
        <v>67.72</v>
      </c>
      <c r="T191" s="17">
        <v>56.82</v>
      </c>
      <c r="U191" s="17">
        <v>10.9</v>
      </c>
      <c r="V191" s="17">
        <v>37.200000000000003</v>
      </c>
      <c r="W191" s="17">
        <v>37.299999999999997</v>
      </c>
      <c r="X191" s="17">
        <v>351.31</v>
      </c>
      <c r="Y191" s="17">
        <v>5417</v>
      </c>
      <c r="Z191" s="17">
        <v>8.19</v>
      </c>
      <c r="AA191" s="17">
        <v>349.5</v>
      </c>
      <c r="AB191" s="17">
        <v>5232</v>
      </c>
      <c r="AC191" s="17">
        <v>8.9</v>
      </c>
      <c r="AD191" s="17">
        <v>341.16</v>
      </c>
      <c r="AE191" s="17">
        <v>5208</v>
      </c>
      <c r="AF191" s="17">
        <v>9.16</v>
      </c>
      <c r="AG191" s="17">
        <v>1432</v>
      </c>
      <c r="AH191" s="17">
        <v>917</v>
      </c>
      <c r="AI191" s="17">
        <v>34.273131970000001</v>
      </c>
      <c r="AJ191" s="17">
        <v>22.329907949999999</v>
      </c>
      <c r="AK191" s="17">
        <v>-11.943224000000001</v>
      </c>
      <c r="AL191" s="17">
        <v>76.66</v>
      </c>
      <c r="AM191" s="17">
        <v>41782</v>
      </c>
      <c r="AN191" s="17">
        <v>41296</v>
      </c>
      <c r="AO191" s="17">
        <v>41339</v>
      </c>
      <c r="AP191" s="17">
        <v>41141</v>
      </c>
      <c r="AQ191" s="17">
        <v>41066</v>
      </c>
    </row>
    <row r="192" spans="1:43" ht="16" x14ac:dyDescent="0.2">
      <c r="A192" s="17">
        <v>1213</v>
      </c>
      <c r="B192" s="17" t="s">
        <v>204</v>
      </c>
      <c r="C192" s="17">
        <v>0.95</v>
      </c>
      <c r="D192" s="17">
        <v>0.44</v>
      </c>
      <c r="E192" s="17">
        <v>0.51</v>
      </c>
      <c r="F192" s="17">
        <v>39.9</v>
      </c>
      <c r="G192" s="17">
        <v>29.1</v>
      </c>
      <c r="H192" s="17">
        <v>10.8</v>
      </c>
      <c r="I192" s="17">
        <v>7.93</v>
      </c>
      <c r="J192" s="17">
        <v>85.79</v>
      </c>
      <c r="K192" s="17">
        <v>12.32</v>
      </c>
      <c r="L192" s="17">
        <v>259.5</v>
      </c>
      <c r="M192" s="17">
        <v>23.51</v>
      </c>
      <c r="N192" s="17">
        <v>2.74</v>
      </c>
      <c r="O192" s="17">
        <v>20.77</v>
      </c>
      <c r="P192" s="17">
        <v>8.73</v>
      </c>
      <c r="Q192" s="17">
        <v>15.64</v>
      </c>
      <c r="R192" s="17">
        <v>-6.91</v>
      </c>
      <c r="S192" s="17">
        <v>61.62</v>
      </c>
      <c r="T192" s="17">
        <v>51.44</v>
      </c>
      <c r="U192" s="17">
        <v>10.18</v>
      </c>
      <c r="V192" s="17">
        <v>37.4</v>
      </c>
      <c r="W192" s="17">
        <v>38.299999999999997</v>
      </c>
      <c r="X192" s="17">
        <v>471.78</v>
      </c>
      <c r="Y192" s="17">
        <v>1707</v>
      </c>
      <c r="Z192" s="17">
        <v>25.02</v>
      </c>
      <c r="AA192" s="17">
        <v>484.63</v>
      </c>
      <c r="AB192" s="17">
        <v>1670</v>
      </c>
      <c r="AC192" s="17">
        <v>26.52</v>
      </c>
      <c r="AD192" s="17">
        <v>484.25</v>
      </c>
      <c r="AE192" s="17">
        <v>1652</v>
      </c>
      <c r="AF192" s="17">
        <v>26.85</v>
      </c>
      <c r="AG192" s="17">
        <v>1086</v>
      </c>
      <c r="AH192" s="17">
        <v>654</v>
      </c>
      <c r="AI192" s="17">
        <v>69.335376359999998</v>
      </c>
      <c r="AJ192" s="17">
        <v>42.981072560000001</v>
      </c>
      <c r="AK192" s="17">
        <v>-26.354303999999999</v>
      </c>
      <c r="AL192" s="17">
        <v>83.87</v>
      </c>
      <c r="AM192" s="17">
        <v>15663</v>
      </c>
      <c r="AN192" s="17">
        <v>15321</v>
      </c>
      <c r="AO192" s="17">
        <v>15332</v>
      </c>
      <c r="AP192" s="17">
        <v>15263</v>
      </c>
      <c r="AQ192" s="17">
        <v>15216</v>
      </c>
    </row>
    <row r="193" spans="1:43" ht="16" x14ac:dyDescent="0.2">
      <c r="A193" s="17">
        <v>1214</v>
      </c>
      <c r="B193" s="17" t="s">
        <v>205</v>
      </c>
      <c r="C193" s="17">
        <v>1.59</v>
      </c>
      <c r="D193" s="17">
        <v>0.32</v>
      </c>
      <c r="E193" s="17">
        <v>1.27</v>
      </c>
      <c r="F193" s="17">
        <v>30.5</v>
      </c>
      <c r="G193" s="17">
        <v>23.6</v>
      </c>
      <c r="H193" s="17">
        <v>6.9</v>
      </c>
      <c r="I193" s="17">
        <v>5.83</v>
      </c>
      <c r="J193" s="17">
        <v>101.83</v>
      </c>
      <c r="K193" s="17">
        <v>22.52</v>
      </c>
      <c r="L193" s="17">
        <v>241.3</v>
      </c>
      <c r="M193" s="17">
        <v>19.88</v>
      </c>
      <c r="N193" s="17">
        <v>2.9</v>
      </c>
      <c r="O193" s="17">
        <v>16.98</v>
      </c>
      <c r="P193" s="17">
        <v>2.65</v>
      </c>
      <c r="Q193" s="17">
        <v>5.7</v>
      </c>
      <c r="R193" s="17">
        <v>-3.05</v>
      </c>
      <c r="S193" s="17">
        <v>67.69</v>
      </c>
      <c r="T193" s="17">
        <v>56.03</v>
      </c>
      <c r="U193" s="17">
        <v>11.66</v>
      </c>
      <c r="V193" s="17">
        <v>38</v>
      </c>
      <c r="W193" s="17">
        <v>38.4</v>
      </c>
      <c r="X193" s="17">
        <v>421.19</v>
      </c>
      <c r="Y193" s="17">
        <v>2877</v>
      </c>
      <c r="Z193" s="17">
        <v>20.98</v>
      </c>
      <c r="AA193" s="17">
        <v>430.69</v>
      </c>
      <c r="AB193" s="17">
        <v>2757</v>
      </c>
      <c r="AC193" s="17">
        <v>19.34</v>
      </c>
      <c r="AD193" s="17">
        <v>440.67</v>
      </c>
      <c r="AE193" s="17">
        <v>2783</v>
      </c>
      <c r="AF193" s="17">
        <v>20.2</v>
      </c>
      <c r="AG193" s="17">
        <v>930</v>
      </c>
      <c r="AH193" s="17">
        <v>688</v>
      </c>
      <c r="AI193" s="17">
        <v>39.917589489999997</v>
      </c>
      <c r="AJ193" s="17">
        <v>31.19898422</v>
      </c>
      <c r="AK193" s="17">
        <v>-8.7186053000000001</v>
      </c>
      <c r="AL193" s="17">
        <v>98.54</v>
      </c>
      <c r="AM193" s="17">
        <v>23298</v>
      </c>
      <c r="AN193" s="17">
        <v>22638</v>
      </c>
      <c r="AO193" s="17">
        <v>22405</v>
      </c>
      <c r="AP193" s="17">
        <v>22250</v>
      </c>
      <c r="AQ193" s="17">
        <v>22052</v>
      </c>
    </row>
    <row r="194" spans="1:43" ht="16" x14ac:dyDescent="0.2">
      <c r="A194" s="17">
        <v>709</v>
      </c>
      <c r="B194" s="17" t="s">
        <v>206</v>
      </c>
      <c r="C194" s="17">
        <v>0.91</v>
      </c>
      <c r="D194" s="17">
        <v>0.28000000000000003</v>
      </c>
      <c r="E194" s="17">
        <v>0.63</v>
      </c>
      <c r="F194" s="17">
        <v>31.2</v>
      </c>
      <c r="G194" s="17">
        <v>22</v>
      </c>
      <c r="H194" s="17">
        <v>9.1999999999999993</v>
      </c>
      <c r="I194" s="17">
        <v>7.9</v>
      </c>
      <c r="J194" s="17">
        <v>67.62</v>
      </c>
      <c r="K194" s="17">
        <v>9.5</v>
      </c>
      <c r="L194" s="17">
        <v>251</v>
      </c>
      <c r="M194" s="17">
        <v>18.399999999999999</v>
      </c>
      <c r="N194" s="17">
        <v>2.21</v>
      </c>
      <c r="O194" s="17">
        <v>16.190000000000001</v>
      </c>
      <c r="P194" s="17">
        <v>21.86</v>
      </c>
      <c r="Q194" s="17">
        <v>30.63</v>
      </c>
      <c r="R194" s="17">
        <v>-8.77</v>
      </c>
      <c r="S194" s="17">
        <v>66.099999999999994</v>
      </c>
      <c r="T194" s="17">
        <v>55.33</v>
      </c>
      <c r="U194" s="17">
        <v>10.77</v>
      </c>
      <c r="V194" s="17">
        <v>32.5</v>
      </c>
      <c r="W194" s="17">
        <v>33.700000000000003</v>
      </c>
      <c r="X194" s="17">
        <v>463.66</v>
      </c>
      <c r="Y194" s="17">
        <v>765</v>
      </c>
      <c r="Z194" s="17">
        <v>28.41</v>
      </c>
      <c r="AA194" s="17">
        <v>464.03</v>
      </c>
      <c r="AB194" s="17">
        <v>741</v>
      </c>
      <c r="AC194" s="17">
        <v>29.52</v>
      </c>
      <c r="AD194" s="17">
        <v>472.73</v>
      </c>
      <c r="AE194" s="17">
        <v>747</v>
      </c>
      <c r="AF194" s="17">
        <v>24.7</v>
      </c>
      <c r="AG194" s="17">
        <v>405</v>
      </c>
      <c r="AH194" s="17">
        <v>224</v>
      </c>
      <c r="AI194" s="17">
        <v>69.218936929999998</v>
      </c>
      <c r="AJ194" s="17">
        <v>39.051603909999997</v>
      </c>
      <c r="AK194" s="17">
        <v>-30.167332999999999</v>
      </c>
      <c r="AL194" s="17">
        <v>68.16</v>
      </c>
      <c r="AM194" s="17">
        <v>5851</v>
      </c>
      <c r="AN194" s="17">
        <v>5681</v>
      </c>
      <c r="AO194" s="17">
        <v>5716</v>
      </c>
      <c r="AP194" s="17">
        <v>5763</v>
      </c>
      <c r="AQ194" s="17">
        <v>5736</v>
      </c>
    </row>
    <row r="195" spans="1:43" ht="16" x14ac:dyDescent="0.2">
      <c r="A195" s="17">
        <v>811</v>
      </c>
      <c r="B195" s="17" t="s">
        <v>207</v>
      </c>
      <c r="C195" s="17">
        <v>6.07</v>
      </c>
      <c r="D195" s="17">
        <v>3.61</v>
      </c>
      <c r="E195" s="17">
        <v>2.46</v>
      </c>
      <c r="F195" s="17">
        <v>48.1</v>
      </c>
      <c r="G195" s="17">
        <v>42.1</v>
      </c>
      <c r="H195" s="17">
        <v>6</v>
      </c>
      <c r="I195" s="17">
        <v>13.46</v>
      </c>
      <c r="J195" s="17">
        <v>105.61</v>
      </c>
      <c r="K195" s="17">
        <v>20.69</v>
      </c>
      <c r="L195" s="17">
        <v>152.5</v>
      </c>
      <c r="M195" s="17">
        <v>30.53</v>
      </c>
      <c r="N195" s="17">
        <v>2.29</v>
      </c>
      <c r="O195" s="17">
        <v>28.24</v>
      </c>
      <c r="P195" s="17">
        <v>2.52</v>
      </c>
      <c r="Q195" s="17">
        <v>6.42</v>
      </c>
      <c r="R195" s="17">
        <v>-3.9</v>
      </c>
      <c r="S195" s="17">
        <v>63.36</v>
      </c>
      <c r="T195" s="17">
        <v>45.6</v>
      </c>
      <c r="U195" s="17">
        <v>17.760000000000002</v>
      </c>
      <c r="V195" s="17">
        <v>40.299999999999997</v>
      </c>
      <c r="W195" s="17">
        <v>40.5</v>
      </c>
      <c r="X195" s="17">
        <v>305.58999999999997</v>
      </c>
      <c r="Y195" s="17">
        <v>10130</v>
      </c>
      <c r="Z195" s="17">
        <v>45.42</v>
      </c>
      <c r="AA195" s="17">
        <v>337.18</v>
      </c>
      <c r="AB195" s="17">
        <v>8863</v>
      </c>
      <c r="AC195" s="17">
        <v>40</v>
      </c>
      <c r="AD195" s="17">
        <v>331.29</v>
      </c>
      <c r="AE195" s="17">
        <v>8683</v>
      </c>
      <c r="AF195" s="17">
        <v>32.74</v>
      </c>
      <c r="AG195" s="17">
        <v>4620</v>
      </c>
      <c r="AH195" s="17">
        <v>4022</v>
      </c>
      <c r="AI195" s="17">
        <v>80.714198359999997</v>
      </c>
      <c r="AJ195" s="17">
        <v>64.688379569999995</v>
      </c>
      <c r="AK195" s="17">
        <v>-16.025818999999998</v>
      </c>
      <c r="AL195" s="17">
        <v>102.11</v>
      </c>
      <c r="AM195" s="17">
        <v>57239</v>
      </c>
      <c r="AN195" s="17">
        <v>59564</v>
      </c>
      <c r="AO195" s="17">
        <v>60109</v>
      </c>
      <c r="AP195" s="17">
        <v>60278</v>
      </c>
      <c r="AQ195" s="17">
        <v>62175</v>
      </c>
    </row>
    <row r="196" spans="1:43" ht="16" x14ac:dyDescent="0.2">
      <c r="A196" s="17">
        <v>1312</v>
      </c>
      <c r="B196" s="17" t="s">
        <v>208</v>
      </c>
      <c r="C196" s="17">
        <v>5.76</v>
      </c>
      <c r="D196" s="17">
        <v>1.98</v>
      </c>
      <c r="E196" s="17">
        <v>3.78</v>
      </c>
      <c r="F196" s="17">
        <v>60.6</v>
      </c>
      <c r="G196" s="17">
        <v>65.099999999999994</v>
      </c>
      <c r="H196" s="17">
        <v>-4.5</v>
      </c>
      <c r="I196" s="17">
        <v>11.71</v>
      </c>
      <c r="J196" s="17">
        <v>154.02000000000001</v>
      </c>
      <c r="K196" s="17">
        <v>37.53</v>
      </c>
      <c r="L196" s="17">
        <v>215.5</v>
      </c>
      <c r="M196" s="17">
        <v>9.99</v>
      </c>
      <c r="N196" s="17">
        <v>0.44</v>
      </c>
      <c r="O196" s="17">
        <v>9.5500000000000007</v>
      </c>
      <c r="P196" s="17">
        <v>3.38</v>
      </c>
      <c r="Q196" s="17">
        <v>6.46</v>
      </c>
      <c r="R196" s="17">
        <v>-3.08</v>
      </c>
      <c r="S196" s="17">
        <v>69.56</v>
      </c>
      <c r="T196" s="17">
        <v>61.58</v>
      </c>
      <c r="U196" s="17">
        <v>7.98</v>
      </c>
      <c r="V196" s="17">
        <v>47.7</v>
      </c>
      <c r="W196" s="17">
        <v>47.3</v>
      </c>
      <c r="X196" s="17">
        <v>348.14</v>
      </c>
      <c r="Y196" s="17">
        <v>48748</v>
      </c>
      <c r="Z196" s="17">
        <v>70.260000000000005</v>
      </c>
      <c r="AA196" s="17">
        <v>396.66</v>
      </c>
      <c r="AB196" s="17">
        <v>44595</v>
      </c>
      <c r="AC196" s="17">
        <v>80.459999999999994</v>
      </c>
      <c r="AD196" s="17">
        <v>403.48</v>
      </c>
      <c r="AE196" s="17">
        <v>42927</v>
      </c>
      <c r="AF196" s="17">
        <v>88.9</v>
      </c>
      <c r="AG196" s="17">
        <v>10538</v>
      </c>
      <c r="AH196" s="17">
        <v>8439</v>
      </c>
      <c r="AI196" s="17">
        <v>45.069241890000001</v>
      </c>
      <c r="AJ196" s="17">
        <v>34.726108570000001</v>
      </c>
      <c r="AK196" s="17">
        <v>-10.343133</v>
      </c>
      <c r="AL196" s="17">
        <v>147.63</v>
      </c>
      <c r="AM196" s="17">
        <v>233818</v>
      </c>
      <c r="AN196" s="17">
        <v>237003</v>
      </c>
      <c r="AO196" s="17">
        <v>232873</v>
      </c>
      <c r="AP196" s="17">
        <v>236003</v>
      </c>
      <c r="AQ196" s="17">
        <v>243016</v>
      </c>
    </row>
    <row r="197" spans="1:43" ht="16" x14ac:dyDescent="0.2">
      <c r="A197" s="17">
        <v>1016</v>
      </c>
      <c r="B197" s="17" t="s">
        <v>209</v>
      </c>
      <c r="C197" s="17">
        <v>2.27</v>
      </c>
      <c r="D197" s="17">
        <v>0.37</v>
      </c>
      <c r="E197" s="17">
        <v>1.9</v>
      </c>
      <c r="F197" s="17">
        <v>28.4</v>
      </c>
      <c r="G197" s="17">
        <v>28.8</v>
      </c>
      <c r="H197" s="17">
        <v>-0.4</v>
      </c>
      <c r="I197" s="17">
        <v>4.29</v>
      </c>
      <c r="J197" s="17">
        <v>81.19</v>
      </c>
      <c r="K197" s="17">
        <v>14.68</v>
      </c>
      <c r="L197" s="17">
        <v>207.4</v>
      </c>
      <c r="M197" s="17">
        <v>23.01</v>
      </c>
      <c r="N197" s="17">
        <v>1.01</v>
      </c>
      <c r="O197" s="17">
        <v>22</v>
      </c>
      <c r="P197" s="17">
        <v>1.51</v>
      </c>
      <c r="Q197" s="17">
        <v>2.5099999999999998</v>
      </c>
      <c r="R197" s="17">
        <v>-1</v>
      </c>
      <c r="S197" s="17">
        <v>69.569999999999993</v>
      </c>
      <c r="T197" s="17">
        <v>56.78</v>
      </c>
      <c r="U197" s="17">
        <v>12.79</v>
      </c>
      <c r="V197" s="17">
        <v>35.700000000000003</v>
      </c>
      <c r="W197" s="17">
        <v>35.9</v>
      </c>
      <c r="X197" s="17">
        <v>387.25</v>
      </c>
      <c r="Y197" s="17">
        <v>3022</v>
      </c>
      <c r="Z197" s="17">
        <v>14.66</v>
      </c>
      <c r="AA197" s="17">
        <v>388.38</v>
      </c>
      <c r="AB197" s="17">
        <v>2873</v>
      </c>
      <c r="AC197" s="17">
        <v>13.14</v>
      </c>
      <c r="AD197" s="17">
        <v>391.75</v>
      </c>
      <c r="AE197" s="17">
        <v>2867</v>
      </c>
      <c r="AF197" s="17">
        <v>12.16</v>
      </c>
      <c r="AG197" s="17">
        <v>981</v>
      </c>
      <c r="AH197" s="17">
        <v>546</v>
      </c>
      <c r="AI197" s="17">
        <v>42.084942079999998</v>
      </c>
      <c r="AJ197" s="17">
        <v>23.07107242</v>
      </c>
      <c r="AK197" s="17">
        <v>-19.013870000000001</v>
      </c>
      <c r="AL197" s="17">
        <v>82.41</v>
      </c>
      <c r="AM197" s="17">
        <v>23310</v>
      </c>
      <c r="AN197" s="17">
        <v>23019</v>
      </c>
      <c r="AO197" s="17">
        <v>23306</v>
      </c>
      <c r="AP197" s="17">
        <v>23521</v>
      </c>
      <c r="AQ197" s="17">
        <v>23666</v>
      </c>
    </row>
    <row r="198" spans="1:43" ht="16" x14ac:dyDescent="0.2">
      <c r="A198" s="17">
        <v>309</v>
      </c>
      <c r="B198" s="17" t="s">
        <v>210</v>
      </c>
      <c r="C198" s="17">
        <v>1.22</v>
      </c>
      <c r="D198" s="17">
        <v>0.31</v>
      </c>
      <c r="E198" s="17">
        <v>0.91</v>
      </c>
      <c r="F198" s="17">
        <v>25.2</v>
      </c>
      <c r="G198" s="17">
        <v>22.6</v>
      </c>
      <c r="H198" s="17">
        <v>2.6</v>
      </c>
      <c r="I198" s="17">
        <v>7.53</v>
      </c>
      <c r="J198" s="17">
        <v>71.349999999999994</v>
      </c>
      <c r="K198" s="17">
        <v>11.8</v>
      </c>
      <c r="L198" s="17">
        <v>208.7</v>
      </c>
      <c r="M198" s="17">
        <v>16.760000000000002</v>
      </c>
      <c r="N198" s="17">
        <v>0.62</v>
      </c>
      <c r="O198" s="17">
        <v>16.14</v>
      </c>
      <c r="P198" s="17">
        <v>0.75</v>
      </c>
      <c r="Q198" s="17">
        <v>2.06</v>
      </c>
      <c r="R198" s="17">
        <v>-1.31</v>
      </c>
      <c r="S198" s="17">
        <v>65.89</v>
      </c>
      <c r="T198" s="17">
        <v>54.98</v>
      </c>
      <c r="U198" s="17">
        <v>10.91</v>
      </c>
      <c r="V198" s="17">
        <v>35.5</v>
      </c>
      <c r="W198" s="17">
        <v>36.799999999999997</v>
      </c>
      <c r="X198" s="17">
        <v>304.37</v>
      </c>
      <c r="Y198" s="17">
        <v>2362</v>
      </c>
      <c r="Z198" s="17">
        <v>10.41</v>
      </c>
      <c r="AA198" s="17">
        <v>309.06</v>
      </c>
      <c r="AB198" s="17">
        <v>2196</v>
      </c>
      <c r="AC198" s="17">
        <v>12.53</v>
      </c>
      <c r="AD198" s="17">
        <v>297.42</v>
      </c>
      <c r="AE198" s="17">
        <v>2142</v>
      </c>
      <c r="AF198" s="17">
        <v>14.39</v>
      </c>
      <c r="AG198" s="17">
        <v>771</v>
      </c>
      <c r="AH198" s="17">
        <v>573</v>
      </c>
      <c r="AI198" s="17">
        <v>36.100575919999997</v>
      </c>
      <c r="AJ198" s="17">
        <v>25.68239882</v>
      </c>
      <c r="AK198" s="17">
        <v>-10.418177</v>
      </c>
      <c r="AL198" s="17">
        <v>71.95</v>
      </c>
      <c r="AM198" s="17">
        <v>21357</v>
      </c>
      <c r="AN198" s="17">
        <v>21475</v>
      </c>
      <c r="AO198" s="17">
        <v>21896</v>
      </c>
      <c r="AP198" s="17">
        <v>22109</v>
      </c>
      <c r="AQ198" s="17">
        <v>22311</v>
      </c>
    </row>
    <row r="199" spans="1:43" ht="16" x14ac:dyDescent="0.2">
      <c r="A199" s="17">
        <v>1313</v>
      </c>
      <c r="B199" s="17" t="s">
        <v>211</v>
      </c>
      <c r="C199" s="17">
        <v>2.4900000000000002</v>
      </c>
      <c r="D199" s="17">
        <v>0.76</v>
      </c>
      <c r="E199" s="17">
        <v>1.73</v>
      </c>
      <c r="F199" s="17">
        <v>22</v>
      </c>
      <c r="G199" s="17">
        <v>29.9</v>
      </c>
      <c r="H199" s="17">
        <v>-7.9</v>
      </c>
      <c r="I199" s="17">
        <v>8.26</v>
      </c>
      <c r="J199" s="17">
        <v>96.46</v>
      </c>
      <c r="K199" s="17">
        <v>19.12</v>
      </c>
      <c r="L199" s="17">
        <v>174.7</v>
      </c>
      <c r="M199" s="17">
        <v>18.760000000000002</v>
      </c>
      <c r="N199" s="17">
        <v>0.72</v>
      </c>
      <c r="O199" s="17">
        <v>18.04</v>
      </c>
      <c r="P199" s="17">
        <v>1.5</v>
      </c>
      <c r="Q199" s="17">
        <v>3.03</v>
      </c>
      <c r="R199" s="17">
        <v>-1.53</v>
      </c>
      <c r="S199" s="17">
        <v>65.040000000000006</v>
      </c>
      <c r="T199" s="17">
        <v>52.17</v>
      </c>
      <c r="U199" s="17">
        <v>12.87</v>
      </c>
      <c r="V199" s="17">
        <v>40.5</v>
      </c>
      <c r="W199" s="17">
        <v>41.4</v>
      </c>
      <c r="X199" s="17">
        <v>300.10000000000002</v>
      </c>
      <c r="Y199" s="17">
        <v>9168</v>
      </c>
      <c r="Z199" s="17">
        <v>23.27</v>
      </c>
      <c r="AA199" s="17">
        <v>312.60000000000002</v>
      </c>
      <c r="AB199" s="17">
        <v>8643</v>
      </c>
      <c r="AC199" s="17">
        <v>22.9</v>
      </c>
      <c r="AD199" s="17">
        <v>300.33</v>
      </c>
      <c r="AE199" s="17">
        <v>8166</v>
      </c>
      <c r="AF199" s="17">
        <v>21.69</v>
      </c>
      <c r="AG199" s="17">
        <v>2921</v>
      </c>
      <c r="AH199" s="17">
        <v>2356</v>
      </c>
      <c r="AI199" s="17">
        <v>46.190581610000002</v>
      </c>
      <c r="AJ199" s="17">
        <v>35.557433709999998</v>
      </c>
      <c r="AK199" s="17">
        <v>-10.633148</v>
      </c>
      <c r="AL199" s="17">
        <v>94.48</v>
      </c>
      <c r="AM199" s="17">
        <v>63238</v>
      </c>
      <c r="AN199" s="17">
        <v>64245</v>
      </c>
      <c r="AO199" s="17">
        <v>64522</v>
      </c>
      <c r="AP199" s="17">
        <v>65111</v>
      </c>
      <c r="AQ199" s="17">
        <v>66259</v>
      </c>
    </row>
    <row r="200" spans="1:43" ht="16" x14ac:dyDescent="0.2">
      <c r="A200" s="17">
        <v>508</v>
      </c>
      <c r="B200" s="17" t="s">
        <v>212</v>
      </c>
      <c r="C200" s="17">
        <v>1.52</v>
      </c>
      <c r="D200" s="17">
        <v>0.66</v>
      </c>
      <c r="E200" s="17">
        <v>0.86</v>
      </c>
      <c r="F200" s="17">
        <v>30.4</v>
      </c>
      <c r="G200" s="17">
        <v>26</v>
      </c>
      <c r="H200" s="17">
        <v>4.4000000000000004</v>
      </c>
      <c r="I200" s="17">
        <v>5.83</v>
      </c>
      <c r="J200" s="17">
        <v>71.599999999999994</v>
      </c>
      <c r="K200" s="17">
        <v>12.69</v>
      </c>
      <c r="L200" s="17">
        <v>478.5</v>
      </c>
      <c r="M200" s="17">
        <v>15.23</v>
      </c>
      <c r="N200" s="17">
        <v>0.95</v>
      </c>
      <c r="O200" s="17">
        <v>14.28</v>
      </c>
      <c r="P200" s="17">
        <v>0.96</v>
      </c>
      <c r="Q200" s="17">
        <v>1.32</v>
      </c>
      <c r="R200" s="17">
        <v>-0.36</v>
      </c>
      <c r="S200" s="17">
        <v>67.819999999999993</v>
      </c>
      <c r="T200" s="17">
        <v>59.35</v>
      </c>
      <c r="U200" s="17">
        <v>8.4700000000000006</v>
      </c>
      <c r="V200" s="17">
        <v>35.9</v>
      </c>
      <c r="W200" s="17">
        <v>37.200000000000003</v>
      </c>
      <c r="X200" s="17">
        <v>493.14</v>
      </c>
      <c r="Y200" s="17">
        <v>844</v>
      </c>
      <c r="Z200" s="17">
        <v>16.89</v>
      </c>
      <c r="AA200" s="17">
        <v>483.05</v>
      </c>
      <c r="AB200" s="17">
        <v>792</v>
      </c>
      <c r="AC200" s="17">
        <v>13.3</v>
      </c>
      <c r="AD200" s="17">
        <v>492.93</v>
      </c>
      <c r="AE200" s="17">
        <v>790</v>
      </c>
      <c r="AF200" s="17">
        <v>8.76</v>
      </c>
      <c r="AG200" s="17">
        <v>202</v>
      </c>
      <c r="AH200" s="17">
        <v>119</v>
      </c>
      <c r="AI200" s="17">
        <v>26.91897655</v>
      </c>
      <c r="AJ200" s="17">
        <v>16.753484440000001</v>
      </c>
      <c r="AK200" s="17">
        <v>-10.165492</v>
      </c>
      <c r="AL200" s="17">
        <v>74.77</v>
      </c>
      <c r="AM200" s="17">
        <v>7504</v>
      </c>
      <c r="AN200" s="17">
        <v>7200</v>
      </c>
      <c r="AO200" s="17">
        <v>7171</v>
      </c>
      <c r="AP200" s="17">
        <v>7131</v>
      </c>
      <c r="AQ200" s="17">
        <v>7103</v>
      </c>
    </row>
    <row r="201" spans="1:43" ht="16" x14ac:dyDescent="0.2">
      <c r="A201" s="17">
        <v>710</v>
      </c>
      <c r="B201" s="17" t="s">
        <v>213</v>
      </c>
      <c r="C201" s="17">
        <v>0.46</v>
      </c>
      <c r="D201" s="17">
        <v>0.3</v>
      </c>
      <c r="E201" s="17">
        <v>0.16</v>
      </c>
      <c r="F201" s="17">
        <v>27.7</v>
      </c>
      <c r="G201" s="17">
        <v>22.3</v>
      </c>
      <c r="H201" s="17">
        <v>5.4</v>
      </c>
      <c r="I201" s="17">
        <v>6.08</v>
      </c>
      <c r="J201" s="17">
        <v>73.59</v>
      </c>
      <c r="K201" s="17">
        <v>11.12</v>
      </c>
      <c r="L201" s="17">
        <v>231.9</v>
      </c>
      <c r="M201" s="17">
        <v>19.13</v>
      </c>
      <c r="N201" s="17">
        <v>1.66</v>
      </c>
      <c r="O201" s="17">
        <v>17.47</v>
      </c>
      <c r="P201" s="17">
        <v>9.84</v>
      </c>
      <c r="Q201" s="17">
        <v>17.97</v>
      </c>
      <c r="R201" s="17">
        <v>-8.1300000000000008</v>
      </c>
      <c r="S201" s="17">
        <v>62.19</v>
      </c>
      <c r="T201" s="17">
        <v>49.06</v>
      </c>
      <c r="U201" s="17">
        <v>13.13</v>
      </c>
      <c r="V201" s="17">
        <v>34.9</v>
      </c>
      <c r="W201" s="17">
        <v>35.299999999999997</v>
      </c>
      <c r="X201" s="17">
        <v>435.99</v>
      </c>
      <c r="Y201" s="17">
        <v>897</v>
      </c>
      <c r="Z201" s="17">
        <v>32.090000000000003</v>
      </c>
      <c r="AA201" s="17">
        <v>435.04</v>
      </c>
      <c r="AB201" s="17">
        <v>864</v>
      </c>
      <c r="AC201" s="17">
        <v>28.18</v>
      </c>
      <c r="AD201" s="17">
        <v>433.11</v>
      </c>
      <c r="AE201" s="17">
        <v>895</v>
      </c>
      <c r="AF201" s="17">
        <v>30.15</v>
      </c>
      <c r="AG201" s="17">
        <v>378</v>
      </c>
      <c r="AH201" s="17">
        <v>242</v>
      </c>
      <c r="AI201" s="17">
        <v>57.490494300000002</v>
      </c>
      <c r="AJ201" s="17">
        <v>38.578032839999999</v>
      </c>
      <c r="AK201" s="17">
        <v>-18.912461</v>
      </c>
      <c r="AL201" s="17">
        <v>74.11</v>
      </c>
      <c r="AM201" s="17">
        <v>6575</v>
      </c>
      <c r="AN201" s="17">
        <v>6380</v>
      </c>
      <c r="AO201" s="17">
        <v>6330</v>
      </c>
      <c r="AP201" s="17">
        <v>6289</v>
      </c>
      <c r="AQ201" s="17">
        <v>6273</v>
      </c>
    </row>
    <row r="202" spans="1:43" ht="16" x14ac:dyDescent="0.2">
      <c r="A202" s="17">
        <v>711</v>
      </c>
      <c r="B202" s="17" t="s">
        <v>214</v>
      </c>
      <c r="C202" s="17">
        <v>0.54</v>
      </c>
      <c r="D202" s="17">
        <v>0.74</v>
      </c>
      <c r="E202" s="17">
        <v>-0.2</v>
      </c>
      <c r="F202" s="17">
        <v>38.4</v>
      </c>
      <c r="G202" s="17">
        <v>23.1</v>
      </c>
      <c r="H202" s="17">
        <v>15.3</v>
      </c>
      <c r="I202" s="17">
        <v>7.34</v>
      </c>
      <c r="J202" s="17">
        <v>89.49</v>
      </c>
      <c r="K202" s="17">
        <v>13.47</v>
      </c>
      <c r="L202" s="17">
        <v>206.5</v>
      </c>
      <c r="M202" s="17">
        <v>24.69</v>
      </c>
      <c r="N202" s="17">
        <v>3.2</v>
      </c>
      <c r="O202" s="17">
        <v>21.49</v>
      </c>
      <c r="P202" s="17">
        <v>5.3</v>
      </c>
      <c r="Q202" s="17">
        <v>10.56</v>
      </c>
      <c r="R202" s="17">
        <v>-5.26</v>
      </c>
      <c r="S202" s="17">
        <v>62.69</v>
      </c>
      <c r="T202" s="17">
        <v>46.63</v>
      </c>
      <c r="U202" s="17">
        <v>16.059999999999999</v>
      </c>
      <c r="V202" s="17">
        <v>35.9</v>
      </c>
      <c r="W202" s="17">
        <v>36.299999999999997</v>
      </c>
      <c r="X202" s="17">
        <v>437.72</v>
      </c>
      <c r="Y202" s="17">
        <v>1526</v>
      </c>
      <c r="Z202" s="17">
        <v>53.9</v>
      </c>
      <c r="AA202" s="17">
        <v>433.69</v>
      </c>
      <c r="AB202" s="17">
        <v>1466</v>
      </c>
      <c r="AC202" s="17">
        <v>51.88</v>
      </c>
      <c r="AD202" s="17">
        <v>435.64</v>
      </c>
      <c r="AE202" s="17">
        <v>1490</v>
      </c>
      <c r="AF202" s="17">
        <v>53.36</v>
      </c>
      <c r="AG202" s="17">
        <v>576</v>
      </c>
      <c r="AH202" s="17">
        <v>325</v>
      </c>
      <c r="AI202" s="17">
        <v>56.537102470000001</v>
      </c>
      <c r="AJ202" s="17">
        <v>33.045246570000003</v>
      </c>
      <c r="AK202" s="17">
        <v>-23.491855999999999</v>
      </c>
      <c r="AL202" s="17">
        <v>90.92</v>
      </c>
      <c r="AM202" s="17">
        <v>10188</v>
      </c>
      <c r="AN202" s="17">
        <v>9946</v>
      </c>
      <c r="AO202" s="17">
        <v>9917</v>
      </c>
      <c r="AP202" s="17">
        <v>9870</v>
      </c>
      <c r="AQ202" s="17">
        <v>9835</v>
      </c>
    </row>
    <row r="203" spans="1:43" ht="16" x14ac:dyDescent="0.2">
      <c r="A203" s="17">
        <v>1813</v>
      </c>
      <c r="B203" s="17" t="s">
        <v>215</v>
      </c>
      <c r="C203" s="17">
        <v>0.18</v>
      </c>
      <c r="D203" s="17">
        <v>0.06</v>
      </c>
      <c r="E203" s="17">
        <v>0.12</v>
      </c>
      <c r="F203" s="17">
        <v>22.1</v>
      </c>
      <c r="G203" s="17">
        <v>28.5</v>
      </c>
      <c r="H203" s="17">
        <v>-6.4</v>
      </c>
      <c r="I203" s="17">
        <v>9.0500000000000007</v>
      </c>
      <c r="J203" s="17">
        <v>61.72</v>
      </c>
      <c r="K203" s="17">
        <v>8.86</v>
      </c>
      <c r="L203" s="17">
        <v>265.10000000000002</v>
      </c>
      <c r="M203" s="17">
        <v>13.1</v>
      </c>
      <c r="N203" s="17">
        <v>0.54</v>
      </c>
      <c r="O203" s="17">
        <v>12.56</v>
      </c>
      <c r="P203" s="17">
        <v>1.18</v>
      </c>
      <c r="Q203" s="17">
        <v>1.17</v>
      </c>
      <c r="R203" s="17">
        <v>0.01</v>
      </c>
      <c r="S203" s="17">
        <v>64.37</v>
      </c>
      <c r="T203" s="17">
        <v>51.76</v>
      </c>
      <c r="U203" s="17">
        <v>12.61</v>
      </c>
      <c r="V203" s="17">
        <v>39.799999999999997</v>
      </c>
      <c r="W203" s="17">
        <v>41.2</v>
      </c>
      <c r="X203" s="17">
        <v>369.81</v>
      </c>
      <c r="Y203" s="17">
        <v>1531</v>
      </c>
      <c r="Z203" s="17">
        <v>60.75</v>
      </c>
      <c r="AA203" s="17">
        <v>366.39</v>
      </c>
      <c r="AB203" s="17">
        <v>1493</v>
      </c>
      <c r="AC203" s="17">
        <v>57.87</v>
      </c>
      <c r="AD203" s="17">
        <v>366.92</v>
      </c>
      <c r="AE203" s="17">
        <v>1580</v>
      </c>
      <c r="AF203" s="17">
        <v>72.89</v>
      </c>
      <c r="AG203" s="17">
        <v>353</v>
      </c>
      <c r="AH203" s="17">
        <v>219</v>
      </c>
      <c r="AI203" s="17">
        <v>33.590255970000001</v>
      </c>
      <c r="AJ203" s="17">
        <v>22.21095335</v>
      </c>
      <c r="AK203" s="17">
        <v>-11.379303</v>
      </c>
      <c r="AL203" s="17">
        <v>65.680000000000007</v>
      </c>
      <c r="AM203" s="17">
        <v>10509</v>
      </c>
      <c r="AN203" s="17">
        <v>10161</v>
      </c>
      <c r="AO203" s="17">
        <v>10099</v>
      </c>
      <c r="AP203" s="17">
        <v>9970</v>
      </c>
      <c r="AQ203" s="17">
        <v>9860</v>
      </c>
    </row>
    <row r="204" spans="1:43" ht="16" x14ac:dyDescent="0.2">
      <c r="A204" s="17">
        <v>1709</v>
      </c>
      <c r="B204" s="17" t="s">
        <v>216</v>
      </c>
      <c r="C204" s="17">
        <v>0.94</v>
      </c>
      <c r="D204" s="17">
        <v>0.17</v>
      </c>
      <c r="E204" s="17">
        <v>0.77</v>
      </c>
      <c r="F204" s="17">
        <v>25.9</v>
      </c>
      <c r="G204" s="17">
        <v>27</v>
      </c>
      <c r="H204" s="17">
        <v>-1.1000000000000001</v>
      </c>
      <c r="I204" s="17">
        <v>7.99</v>
      </c>
      <c r="J204" s="17">
        <v>63.86</v>
      </c>
      <c r="K204" s="17">
        <v>8.5</v>
      </c>
      <c r="L204" s="17">
        <v>348.5</v>
      </c>
      <c r="M204" s="17">
        <v>10.92</v>
      </c>
      <c r="N204" s="17">
        <v>0.39</v>
      </c>
      <c r="O204" s="17">
        <v>10.53</v>
      </c>
      <c r="P204" s="17">
        <v>0.75</v>
      </c>
      <c r="Q204" s="17">
        <v>1.85</v>
      </c>
      <c r="R204" s="17">
        <v>-1.1000000000000001</v>
      </c>
      <c r="S204" s="17">
        <v>45.94</v>
      </c>
      <c r="T204" s="17">
        <v>38.36</v>
      </c>
      <c r="U204" s="17">
        <v>7.58</v>
      </c>
      <c r="V204" s="17">
        <v>37.6</v>
      </c>
      <c r="W204" s="17">
        <v>37.4</v>
      </c>
      <c r="X204" s="17">
        <v>378.98</v>
      </c>
      <c r="Y204" s="17">
        <v>767</v>
      </c>
      <c r="Z204" s="17">
        <v>41.37</v>
      </c>
      <c r="AA204" s="17">
        <v>370.39</v>
      </c>
      <c r="AB204" s="17">
        <v>755</v>
      </c>
      <c r="AC204" s="17">
        <v>42.02</v>
      </c>
      <c r="AD204" s="17">
        <v>364.65</v>
      </c>
      <c r="AE204" s="17">
        <v>709</v>
      </c>
      <c r="AF204" s="17">
        <v>41.01</v>
      </c>
      <c r="AG204" s="17">
        <v>151</v>
      </c>
      <c r="AH204" s="17">
        <v>156</v>
      </c>
      <c r="AI204" s="17">
        <v>24.843698589999999</v>
      </c>
      <c r="AJ204" s="17">
        <v>26.730637420000001</v>
      </c>
      <c r="AK204" s="17">
        <v>1.8869388</v>
      </c>
      <c r="AL204" s="17">
        <v>65.78</v>
      </c>
      <c r="AM204" s="17">
        <v>6078</v>
      </c>
      <c r="AN204" s="17">
        <v>5955</v>
      </c>
      <c r="AO204" s="17">
        <v>5891</v>
      </c>
      <c r="AP204" s="17">
        <v>5859</v>
      </c>
      <c r="AQ204" s="17">
        <v>5836</v>
      </c>
    </row>
    <row r="205" spans="1:43" ht="16" x14ac:dyDescent="0.2">
      <c r="A205" s="17">
        <v>1414</v>
      </c>
      <c r="B205" s="17" t="s">
        <v>217</v>
      </c>
      <c r="C205" s="17">
        <v>3.72</v>
      </c>
      <c r="D205" s="17">
        <v>1.88</v>
      </c>
      <c r="E205" s="17">
        <v>1.84</v>
      </c>
      <c r="F205" s="17">
        <v>38</v>
      </c>
      <c r="G205" s="17">
        <v>37</v>
      </c>
      <c r="H205" s="17">
        <v>1</v>
      </c>
      <c r="I205" s="17">
        <v>5.03</v>
      </c>
      <c r="J205" s="17">
        <v>91.06</v>
      </c>
      <c r="K205" s="17">
        <v>14.09</v>
      </c>
      <c r="L205" s="17">
        <v>178.2</v>
      </c>
      <c r="M205" s="17">
        <v>23.26</v>
      </c>
      <c r="N205" s="17">
        <v>1.64</v>
      </c>
      <c r="O205" s="17">
        <v>21.62</v>
      </c>
      <c r="P205" s="17">
        <v>1.87</v>
      </c>
      <c r="Q205" s="17">
        <v>3.7</v>
      </c>
      <c r="R205" s="17">
        <v>-1.83</v>
      </c>
      <c r="S205" s="17">
        <v>67.06</v>
      </c>
      <c r="T205" s="17">
        <v>55.65</v>
      </c>
      <c r="U205" s="17">
        <v>11.41</v>
      </c>
      <c r="V205" s="17">
        <v>39.1</v>
      </c>
      <c r="W205" s="17">
        <v>38.200000000000003</v>
      </c>
      <c r="X205" s="17">
        <v>366.91</v>
      </c>
      <c r="Y205" s="17">
        <v>2556</v>
      </c>
      <c r="Z205" s="17">
        <v>18.260000000000002</v>
      </c>
      <c r="AA205" s="17">
        <v>391.85</v>
      </c>
      <c r="AB205" s="17">
        <v>2391</v>
      </c>
      <c r="AC205" s="17">
        <v>15.56</v>
      </c>
      <c r="AD205" s="17">
        <v>383.91</v>
      </c>
      <c r="AE205" s="17">
        <v>2341</v>
      </c>
      <c r="AF205" s="17">
        <v>17.66</v>
      </c>
      <c r="AG205" s="17">
        <v>774</v>
      </c>
      <c r="AH205" s="17">
        <v>597</v>
      </c>
      <c r="AI205" s="17">
        <v>37.20080746</v>
      </c>
      <c r="AJ205" s="17">
        <v>27.194460889999998</v>
      </c>
      <c r="AK205" s="17">
        <v>-10.006347</v>
      </c>
      <c r="AL205" s="17">
        <v>89.83</v>
      </c>
      <c r="AM205" s="17">
        <v>20806</v>
      </c>
      <c r="AN205" s="17">
        <v>20987</v>
      </c>
      <c r="AO205" s="17">
        <v>21173</v>
      </c>
      <c r="AP205" s="17">
        <v>21559</v>
      </c>
      <c r="AQ205" s="17">
        <v>21953</v>
      </c>
    </row>
    <row r="206" spans="1:43" ht="16" x14ac:dyDescent="0.2">
      <c r="A206" s="17">
        <v>1710</v>
      </c>
      <c r="B206" s="17" t="s">
        <v>218</v>
      </c>
      <c r="C206" s="17">
        <v>0.16</v>
      </c>
      <c r="D206" s="17">
        <v>0.13</v>
      </c>
      <c r="E206" s="17">
        <v>0.03</v>
      </c>
      <c r="F206" s="17">
        <v>18.100000000000001</v>
      </c>
      <c r="G206" s="17">
        <v>24.7</v>
      </c>
      <c r="H206" s="17">
        <v>-6.6</v>
      </c>
      <c r="I206" s="17">
        <v>6.97</v>
      </c>
      <c r="J206" s="17">
        <v>62.62</v>
      </c>
      <c r="K206" s="17">
        <v>9.6999999999999993</v>
      </c>
      <c r="L206" s="17">
        <v>381.9</v>
      </c>
      <c r="M206" s="17">
        <v>18.059999999999999</v>
      </c>
      <c r="N206" s="17">
        <v>0.51</v>
      </c>
      <c r="O206" s="17">
        <v>17.55</v>
      </c>
      <c r="P206" s="17">
        <v>1.67</v>
      </c>
      <c r="Q206" s="17">
        <v>2.44</v>
      </c>
      <c r="R206" s="17">
        <v>-0.77</v>
      </c>
      <c r="S206" s="17">
        <v>58.84</v>
      </c>
      <c r="T206" s="17">
        <v>46.21</v>
      </c>
      <c r="U206" s="17">
        <v>12.63</v>
      </c>
      <c r="V206" s="17">
        <v>36.4</v>
      </c>
      <c r="W206" s="17">
        <v>37.299999999999997</v>
      </c>
      <c r="X206" s="17">
        <v>452.86</v>
      </c>
      <c r="Y206" s="17">
        <v>1046</v>
      </c>
      <c r="Z206" s="17">
        <v>37.33</v>
      </c>
      <c r="AA206" s="17">
        <v>430.99</v>
      </c>
      <c r="AB206" s="17">
        <v>1039</v>
      </c>
      <c r="AC206" s="17">
        <v>37.92</v>
      </c>
      <c r="AD206" s="17">
        <v>427.18</v>
      </c>
      <c r="AE206" s="17">
        <v>1013</v>
      </c>
      <c r="AF206" s="17">
        <v>43.07</v>
      </c>
      <c r="AG206" s="17">
        <v>216</v>
      </c>
      <c r="AH206" s="17">
        <v>128</v>
      </c>
      <c r="AI206" s="17">
        <v>37.749038800000001</v>
      </c>
      <c r="AJ206" s="17">
        <v>22.86530904</v>
      </c>
      <c r="AK206" s="17">
        <v>-14.88373</v>
      </c>
      <c r="AL206" s="17">
        <v>67.400000000000006</v>
      </c>
      <c r="AM206" s="17">
        <v>5722</v>
      </c>
      <c r="AN206" s="17">
        <v>5540</v>
      </c>
      <c r="AO206" s="17">
        <v>5563</v>
      </c>
      <c r="AP206" s="17">
        <v>5569</v>
      </c>
      <c r="AQ206" s="17">
        <v>5598</v>
      </c>
    </row>
    <row r="207" spans="1:43" ht="16" x14ac:dyDescent="0.2">
      <c r="A207" s="17">
        <v>911</v>
      </c>
      <c r="B207" s="17" t="s">
        <v>219</v>
      </c>
      <c r="C207" s="17">
        <v>0.42</v>
      </c>
      <c r="D207" s="17">
        <v>0.2</v>
      </c>
      <c r="E207" s="17">
        <v>0.22</v>
      </c>
      <c r="F207" s="17">
        <v>26.7</v>
      </c>
      <c r="G207" s="17">
        <v>21.5</v>
      </c>
      <c r="H207" s="17">
        <v>5.2</v>
      </c>
      <c r="I207" s="17">
        <v>5.78</v>
      </c>
      <c r="J207" s="17">
        <v>64.430000000000007</v>
      </c>
      <c r="K207" s="17">
        <v>10.15</v>
      </c>
      <c r="L207" s="17">
        <v>564.20000000000005</v>
      </c>
      <c r="M207" s="17">
        <v>23.59</v>
      </c>
      <c r="N207" s="17">
        <v>1.41</v>
      </c>
      <c r="O207" s="17">
        <v>22.18</v>
      </c>
      <c r="P207" s="17">
        <v>1.1100000000000001</v>
      </c>
      <c r="Q207" s="17">
        <v>2.62</v>
      </c>
      <c r="R207" s="17">
        <v>-1.51</v>
      </c>
      <c r="S207" s="17">
        <v>50.64</v>
      </c>
      <c r="T207" s="17">
        <v>42.08</v>
      </c>
      <c r="U207" s="17">
        <v>8.56</v>
      </c>
      <c r="V207" s="17">
        <v>35.700000000000003</v>
      </c>
      <c r="W207" s="17">
        <v>37.299999999999997</v>
      </c>
      <c r="X207" s="17">
        <v>412.54</v>
      </c>
      <c r="Y207" s="17">
        <v>1413</v>
      </c>
      <c r="Z207" s="17">
        <v>25.65</v>
      </c>
      <c r="AA207" s="17">
        <v>445.51</v>
      </c>
      <c r="AB207" s="17">
        <v>1402</v>
      </c>
      <c r="AC207" s="17">
        <v>25.99</v>
      </c>
      <c r="AD207" s="17">
        <v>453.73</v>
      </c>
      <c r="AE207" s="17">
        <v>1408</v>
      </c>
      <c r="AF207" s="17">
        <v>31.97</v>
      </c>
      <c r="AG207" s="17">
        <v>241</v>
      </c>
      <c r="AH207" s="17">
        <v>146</v>
      </c>
      <c r="AI207" s="17">
        <v>20.593010339999999</v>
      </c>
      <c r="AJ207" s="17">
        <v>13.025247569999999</v>
      </c>
      <c r="AK207" s="17">
        <v>-7.5677627999999997</v>
      </c>
      <c r="AL207" s="17">
        <v>64.06</v>
      </c>
      <c r="AM207" s="17">
        <v>11703</v>
      </c>
      <c r="AN207" s="17">
        <v>11321</v>
      </c>
      <c r="AO207" s="17">
        <v>11390</v>
      </c>
      <c r="AP207" s="17">
        <v>11354</v>
      </c>
      <c r="AQ207" s="17">
        <v>11209</v>
      </c>
    </row>
    <row r="208" spans="1:43" ht="16" x14ac:dyDescent="0.2">
      <c r="A208" s="17">
        <v>1415</v>
      </c>
      <c r="B208" s="17" t="s">
        <v>220</v>
      </c>
      <c r="C208" s="17">
        <v>0.87</v>
      </c>
      <c r="D208" s="17">
        <v>0.36</v>
      </c>
      <c r="E208" s="17">
        <v>0.51</v>
      </c>
      <c r="F208" s="17">
        <v>33.1</v>
      </c>
      <c r="G208" s="17">
        <v>35.200000000000003</v>
      </c>
      <c r="H208" s="17">
        <v>-2.1</v>
      </c>
      <c r="I208" s="17">
        <v>7.36</v>
      </c>
      <c r="J208" s="17">
        <v>78.64</v>
      </c>
      <c r="K208" s="17">
        <v>12.17</v>
      </c>
      <c r="L208" s="17">
        <v>212.7</v>
      </c>
      <c r="M208" s="17">
        <v>29.21</v>
      </c>
      <c r="N208" s="17">
        <v>1.76</v>
      </c>
      <c r="O208" s="17">
        <v>27.45</v>
      </c>
      <c r="P208" s="17">
        <v>4.72</v>
      </c>
      <c r="Q208" s="17">
        <v>9.56</v>
      </c>
      <c r="R208" s="17">
        <v>-4.84</v>
      </c>
      <c r="S208" s="17">
        <v>61.34</v>
      </c>
      <c r="T208" s="17">
        <v>45.24</v>
      </c>
      <c r="U208" s="17">
        <v>16.100000000000001</v>
      </c>
      <c r="V208" s="17">
        <v>37.4</v>
      </c>
      <c r="W208" s="17">
        <v>37.9</v>
      </c>
      <c r="X208" s="17">
        <v>406.98</v>
      </c>
      <c r="Y208" s="17">
        <v>2110</v>
      </c>
      <c r="Z208" s="17">
        <v>19.41</v>
      </c>
      <c r="AA208" s="17">
        <v>432.45</v>
      </c>
      <c r="AB208" s="17">
        <v>1963</v>
      </c>
      <c r="AC208" s="17">
        <v>19.21</v>
      </c>
      <c r="AD208" s="17">
        <v>426.07</v>
      </c>
      <c r="AE208" s="17">
        <v>1934</v>
      </c>
      <c r="AF208" s="17">
        <v>19.850000000000001</v>
      </c>
      <c r="AG208" s="17">
        <v>1434</v>
      </c>
      <c r="AH208" s="17">
        <v>930</v>
      </c>
      <c r="AI208" s="17">
        <v>66.769101829999997</v>
      </c>
      <c r="AJ208" s="17">
        <v>40.677076499999998</v>
      </c>
      <c r="AK208" s="17">
        <v>-26.092025</v>
      </c>
      <c r="AL208" s="17">
        <v>81.180000000000007</v>
      </c>
      <c r="AM208" s="17">
        <v>21477</v>
      </c>
      <c r="AN208" s="17">
        <v>21242</v>
      </c>
      <c r="AO208" s="17">
        <v>21749</v>
      </c>
      <c r="AP208" s="17">
        <v>22296</v>
      </c>
      <c r="AQ208" s="17">
        <v>22863</v>
      </c>
    </row>
    <row r="209" spans="1:43" ht="16" x14ac:dyDescent="0.2">
      <c r="A209" s="17">
        <v>1814</v>
      </c>
      <c r="B209" s="17" t="s">
        <v>221</v>
      </c>
      <c r="C209" s="17">
        <v>1.21</v>
      </c>
      <c r="D209" s="17">
        <v>0.36</v>
      </c>
      <c r="E209" s="17">
        <v>0.85</v>
      </c>
      <c r="F209" s="17">
        <v>27.9</v>
      </c>
      <c r="G209" s="17">
        <v>25.9</v>
      </c>
      <c r="H209" s="17">
        <v>2</v>
      </c>
      <c r="I209" s="17">
        <v>5.9</v>
      </c>
      <c r="J209" s="17">
        <v>73.849999999999994</v>
      </c>
      <c r="K209" s="17">
        <v>12.9</v>
      </c>
      <c r="L209" s="17">
        <v>320.5</v>
      </c>
      <c r="M209" s="17">
        <v>17.55</v>
      </c>
      <c r="N209" s="17">
        <v>0.81</v>
      </c>
      <c r="O209" s="17">
        <v>16.739999999999998</v>
      </c>
      <c r="P209" s="17">
        <v>0.98</v>
      </c>
      <c r="Q209" s="17">
        <v>1.64</v>
      </c>
      <c r="R209" s="17">
        <v>-0.66</v>
      </c>
      <c r="S209" s="17">
        <v>62.35</v>
      </c>
      <c r="T209" s="17">
        <v>50.24</v>
      </c>
      <c r="U209" s="17">
        <v>12.11</v>
      </c>
      <c r="V209" s="17">
        <v>36.200000000000003</v>
      </c>
      <c r="W209" s="17">
        <v>36.299999999999997</v>
      </c>
      <c r="X209" s="17">
        <v>417.96</v>
      </c>
      <c r="Y209" s="17">
        <v>1096</v>
      </c>
      <c r="Z209" s="17">
        <v>21</v>
      </c>
      <c r="AA209" s="17">
        <v>436.27</v>
      </c>
      <c r="AB209" s="17">
        <v>1057</v>
      </c>
      <c r="AC209" s="17">
        <v>19.5</v>
      </c>
      <c r="AD209" s="17">
        <v>436.03</v>
      </c>
      <c r="AE209" s="17">
        <v>1093</v>
      </c>
      <c r="AF209" s="17">
        <v>17.64</v>
      </c>
      <c r="AG209" s="17">
        <v>406</v>
      </c>
      <c r="AH209" s="17">
        <v>294</v>
      </c>
      <c r="AI209" s="17">
        <v>37.323037319999997</v>
      </c>
      <c r="AJ209" s="17">
        <v>27.212143650000002</v>
      </c>
      <c r="AK209" s="17">
        <v>-10.110894</v>
      </c>
      <c r="AL209" s="17">
        <v>74.95</v>
      </c>
      <c r="AM209" s="17">
        <v>10878</v>
      </c>
      <c r="AN209" s="17">
        <v>10662</v>
      </c>
      <c r="AO209" s="17">
        <v>10737</v>
      </c>
      <c r="AP209" s="17">
        <v>10789</v>
      </c>
      <c r="AQ209" s="17">
        <v>10804</v>
      </c>
    </row>
    <row r="210" spans="1:43" ht="16" x14ac:dyDescent="0.2">
      <c r="A210" s="17">
        <v>109</v>
      </c>
      <c r="B210" s="17" t="s">
        <v>222</v>
      </c>
      <c r="C210" s="17">
        <v>0.66</v>
      </c>
      <c r="D210" s="17">
        <v>0.25</v>
      </c>
      <c r="E210" s="17">
        <v>0.41</v>
      </c>
      <c r="F210" s="17">
        <v>21.1</v>
      </c>
      <c r="G210" s="17">
        <v>28.6</v>
      </c>
      <c r="H210" s="17">
        <v>-7.5</v>
      </c>
      <c r="I210" s="17">
        <v>7.71</v>
      </c>
      <c r="J210" s="17">
        <v>85.76</v>
      </c>
      <c r="K210" s="17">
        <v>16.82</v>
      </c>
      <c r="L210" s="17">
        <v>191.1</v>
      </c>
      <c r="M210" s="17">
        <v>16.46</v>
      </c>
      <c r="N210" s="17">
        <v>0.53</v>
      </c>
      <c r="O210" s="17">
        <v>15.93</v>
      </c>
      <c r="P210" s="17">
        <v>1.28</v>
      </c>
      <c r="Q210" s="17">
        <v>2.59</v>
      </c>
      <c r="R210" s="17">
        <v>-1.31</v>
      </c>
      <c r="S210" s="17">
        <v>68.64</v>
      </c>
      <c r="T210" s="17">
        <v>56.95</v>
      </c>
      <c r="U210" s="17">
        <v>11.69</v>
      </c>
      <c r="V210" s="17">
        <v>37.6</v>
      </c>
      <c r="W210" s="17">
        <v>38.1</v>
      </c>
      <c r="X210" s="17">
        <v>346.59</v>
      </c>
      <c r="Y210" s="17">
        <v>17283</v>
      </c>
      <c r="Z210" s="17">
        <v>18.86</v>
      </c>
      <c r="AA210" s="17">
        <v>340.97</v>
      </c>
      <c r="AB210" s="17">
        <v>16361</v>
      </c>
      <c r="AC210" s="17">
        <v>18.37</v>
      </c>
      <c r="AD210" s="17">
        <v>329.32</v>
      </c>
      <c r="AE210" s="17">
        <v>15953</v>
      </c>
      <c r="AF210" s="17">
        <v>20.56</v>
      </c>
      <c r="AG210" s="17">
        <v>6734</v>
      </c>
      <c r="AH210" s="17">
        <v>4775</v>
      </c>
      <c r="AI210" s="17">
        <v>49.36588227</v>
      </c>
      <c r="AJ210" s="17">
        <v>34.46334616</v>
      </c>
      <c r="AK210" s="17">
        <v>-14.902536</v>
      </c>
      <c r="AL210" s="17">
        <v>88.4</v>
      </c>
      <c r="AM210" s="17">
        <v>136410</v>
      </c>
      <c r="AN210" s="17">
        <v>136695</v>
      </c>
      <c r="AO210" s="17">
        <v>137224</v>
      </c>
      <c r="AP210" s="17">
        <v>137368</v>
      </c>
      <c r="AQ210" s="17">
        <v>138553</v>
      </c>
    </row>
    <row r="211" spans="1:43" ht="16" x14ac:dyDescent="0.2">
      <c r="A211" s="17">
        <v>1711</v>
      </c>
      <c r="B211" s="17" t="s">
        <v>223</v>
      </c>
      <c r="C211" s="17">
        <v>0.2</v>
      </c>
      <c r="D211" s="17">
        <v>0.03</v>
      </c>
      <c r="E211" s="17">
        <v>0.17</v>
      </c>
      <c r="F211" s="17">
        <v>16</v>
      </c>
      <c r="G211" s="17">
        <v>13.6</v>
      </c>
      <c r="H211" s="17">
        <v>2.4</v>
      </c>
      <c r="I211" s="17">
        <v>6.81</v>
      </c>
      <c r="J211" s="17">
        <v>58.55</v>
      </c>
      <c r="K211" s="17">
        <v>10.06</v>
      </c>
      <c r="L211" s="17">
        <v>388.2</v>
      </c>
      <c r="M211" s="17">
        <v>15.58</v>
      </c>
      <c r="N211" s="17">
        <v>0.62</v>
      </c>
      <c r="O211" s="17">
        <v>14.96</v>
      </c>
      <c r="P211" s="17">
        <v>1.32</v>
      </c>
      <c r="Q211" s="17">
        <v>2.06</v>
      </c>
      <c r="R211" s="17">
        <v>-0.74</v>
      </c>
      <c r="S211" s="17">
        <v>56.68</v>
      </c>
      <c r="T211" s="17">
        <v>48.1</v>
      </c>
      <c r="U211" s="17">
        <v>8.58</v>
      </c>
      <c r="V211" s="17">
        <v>38.799999999999997</v>
      </c>
      <c r="W211" s="17">
        <v>40.1</v>
      </c>
      <c r="X211" s="17">
        <v>478.4</v>
      </c>
      <c r="Y211" s="17">
        <v>1433</v>
      </c>
      <c r="Z211" s="17">
        <v>68.62</v>
      </c>
      <c r="AA211" s="17">
        <v>441.35</v>
      </c>
      <c r="AB211" s="17">
        <v>1406</v>
      </c>
      <c r="AC211" s="17">
        <v>58.28</v>
      </c>
      <c r="AD211" s="17">
        <v>435.95</v>
      </c>
      <c r="AE211" s="17">
        <v>1490</v>
      </c>
      <c r="AF211" s="17">
        <v>64.86</v>
      </c>
      <c r="AG211" s="17">
        <v>283</v>
      </c>
      <c r="AH211" s="17">
        <v>165</v>
      </c>
      <c r="AI211" s="17">
        <v>43.464905539999997</v>
      </c>
      <c r="AJ211" s="17">
        <v>27.532120809999999</v>
      </c>
      <c r="AK211" s="17">
        <v>-15.932785000000001</v>
      </c>
      <c r="AL211" s="17">
        <v>64.39</v>
      </c>
      <c r="AM211" s="17">
        <v>6511</v>
      </c>
      <c r="AN211" s="17">
        <v>6167</v>
      </c>
      <c r="AO211" s="17">
        <v>6110</v>
      </c>
      <c r="AP211" s="17">
        <v>6039</v>
      </c>
      <c r="AQ211" s="17">
        <v>5993</v>
      </c>
    </row>
    <row r="212" spans="1:43" ht="16" x14ac:dyDescent="0.2">
      <c r="A212" s="17">
        <v>1416</v>
      </c>
      <c r="B212" s="17" t="s">
        <v>224</v>
      </c>
      <c r="C212" s="17">
        <v>3.48</v>
      </c>
      <c r="D212" s="17">
        <v>0.85</v>
      </c>
      <c r="E212" s="17">
        <v>2.63</v>
      </c>
      <c r="F212" s="17">
        <v>27</v>
      </c>
      <c r="G212" s="17">
        <v>30.7</v>
      </c>
      <c r="H212" s="17">
        <v>-3.7</v>
      </c>
      <c r="I212" s="17">
        <v>6.28</v>
      </c>
      <c r="J212" s="17">
        <v>100.41</v>
      </c>
      <c r="K212" s="17">
        <v>22.23</v>
      </c>
      <c r="L212" s="17">
        <v>208.3</v>
      </c>
      <c r="M212" s="17">
        <v>20.63</v>
      </c>
      <c r="N212" s="17">
        <v>2.82</v>
      </c>
      <c r="O212" s="17">
        <v>17.809999999999999</v>
      </c>
      <c r="P212" s="17">
        <v>3.82</v>
      </c>
      <c r="Q212" s="17">
        <v>7.02</v>
      </c>
      <c r="R212" s="17">
        <v>-3.2</v>
      </c>
      <c r="S212" s="17">
        <v>67.94</v>
      </c>
      <c r="T212" s="17">
        <v>56.09</v>
      </c>
      <c r="U212" s="17">
        <v>11.85</v>
      </c>
      <c r="V212" s="17">
        <v>40.700000000000003</v>
      </c>
      <c r="W212" s="17">
        <v>40.1</v>
      </c>
      <c r="X212" s="17">
        <v>372.74</v>
      </c>
      <c r="Y212" s="17">
        <v>7090</v>
      </c>
      <c r="Z212" s="17">
        <v>25.69</v>
      </c>
      <c r="AA212" s="17">
        <v>392.42</v>
      </c>
      <c r="AB212" s="17">
        <v>6703</v>
      </c>
      <c r="AC212" s="17">
        <v>25.3</v>
      </c>
      <c r="AD212" s="17">
        <v>392.35</v>
      </c>
      <c r="AE212" s="17">
        <v>6715</v>
      </c>
      <c r="AF212" s="17">
        <v>25.99</v>
      </c>
      <c r="AG212" s="17">
        <v>2522</v>
      </c>
      <c r="AH212" s="17">
        <v>1542</v>
      </c>
      <c r="AI212" s="17">
        <v>42.589840580000001</v>
      </c>
      <c r="AJ212" s="17">
        <v>25.55730505</v>
      </c>
      <c r="AK212" s="17">
        <v>-17.032536</v>
      </c>
      <c r="AL212" s="17">
        <v>99.48</v>
      </c>
      <c r="AM212" s="17">
        <v>59216</v>
      </c>
      <c r="AN212" s="17">
        <v>58564</v>
      </c>
      <c r="AO212" s="17">
        <v>59012</v>
      </c>
      <c r="AP212" s="17">
        <v>59764</v>
      </c>
      <c r="AQ212" s="17">
        <v>60335</v>
      </c>
    </row>
    <row r="213" spans="1:43" ht="16" x14ac:dyDescent="0.2">
      <c r="A213" s="17">
        <v>1509</v>
      </c>
      <c r="B213" s="17" t="s">
        <v>225</v>
      </c>
      <c r="C213" s="17">
        <v>1.98</v>
      </c>
      <c r="D213" s="17">
        <v>0.66</v>
      </c>
      <c r="E213" s="17">
        <v>1.32</v>
      </c>
      <c r="F213" s="17">
        <v>35.4</v>
      </c>
      <c r="G213" s="17">
        <v>22.2</v>
      </c>
      <c r="H213" s="17">
        <v>13.2</v>
      </c>
      <c r="I213" s="17">
        <v>6.65</v>
      </c>
      <c r="J213" s="17">
        <v>94.98</v>
      </c>
      <c r="K213" s="17">
        <v>15.63</v>
      </c>
      <c r="L213" s="17">
        <v>251.4</v>
      </c>
      <c r="M213" s="17">
        <v>18.170000000000002</v>
      </c>
      <c r="N213" s="17">
        <v>1.46</v>
      </c>
      <c r="O213" s="17">
        <v>16.71</v>
      </c>
      <c r="P213" s="17">
        <v>10.43</v>
      </c>
      <c r="Q213" s="17">
        <v>19.16</v>
      </c>
      <c r="R213" s="17">
        <v>-8.73</v>
      </c>
      <c r="S213" s="17">
        <v>66.069999999999993</v>
      </c>
      <c r="T213" s="17">
        <v>53.87</v>
      </c>
      <c r="U213" s="17">
        <v>12.2</v>
      </c>
      <c r="V213" s="17">
        <v>40.9</v>
      </c>
      <c r="W213" s="17">
        <v>41.2</v>
      </c>
      <c r="X213" s="17">
        <v>404.34</v>
      </c>
      <c r="Y213" s="17">
        <v>3574</v>
      </c>
      <c r="Z213" s="17">
        <v>11.61</v>
      </c>
      <c r="AA213" s="17">
        <v>393.2</v>
      </c>
      <c r="AB213" s="17">
        <v>3401</v>
      </c>
      <c r="AC213" s="17">
        <v>12.86</v>
      </c>
      <c r="AD213" s="17">
        <v>385.5</v>
      </c>
      <c r="AE213" s="17">
        <v>3431</v>
      </c>
      <c r="AF213" s="17">
        <v>12.57</v>
      </c>
      <c r="AG213" s="17">
        <v>1599</v>
      </c>
      <c r="AH213" s="17">
        <v>964</v>
      </c>
      <c r="AI213" s="17">
        <v>56.619808079999999</v>
      </c>
      <c r="AJ213" s="17">
        <v>34.274336910000002</v>
      </c>
      <c r="AK213" s="17">
        <v>-22.345471</v>
      </c>
      <c r="AL213" s="17">
        <v>95.81</v>
      </c>
      <c r="AM213" s="17">
        <v>28241</v>
      </c>
      <c r="AN213" s="17">
        <v>27825</v>
      </c>
      <c r="AO213" s="17">
        <v>27934</v>
      </c>
      <c r="AP213" s="17">
        <v>28039</v>
      </c>
      <c r="AQ213" s="17">
        <v>28126</v>
      </c>
    </row>
    <row r="214" spans="1:43" ht="16" x14ac:dyDescent="0.2">
      <c r="A214" s="17">
        <v>1314</v>
      </c>
      <c r="B214" s="17" t="s">
        <v>226</v>
      </c>
      <c r="C214" s="17">
        <v>0.64</v>
      </c>
      <c r="D214" s="17">
        <v>0.17</v>
      </c>
      <c r="E214" s="17">
        <v>0.47</v>
      </c>
      <c r="F214" s="17">
        <v>21.3</v>
      </c>
      <c r="G214" s="17">
        <v>21.3</v>
      </c>
      <c r="H214" s="17">
        <v>0</v>
      </c>
      <c r="I214" s="17">
        <v>7.7</v>
      </c>
      <c r="J214" s="17">
        <v>85.53</v>
      </c>
      <c r="K214" s="17">
        <v>15.25</v>
      </c>
      <c r="L214" s="17">
        <v>251.7</v>
      </c>
      <c r="M214" s="17">
        <v>15.2</v>
      </c>
      <c r="N214" s="17">
        <v>0.48</v>
      </c>
      <c r="O214" s="17">
        <v>14.72</v>
      </c>
      <c r="P214" s="17">
        <v>2.09</v>
      </c>
      <c r="Q214" s="17">
        <v>3.92</v>
      </c>
      <c r="R214" s="17">
        <v>-1.83</v>
      </c>
      <c r="S214" s="17">
        <v>70.98</v>
      </c>
      <c r="T214" s="17">
        <v>60.65</v>
      </c>
      <c r="U214" s="17">
        <v>10.33</v>
      </c>
      <c r="V214" s="17">
        <v>37</v>
      </c>
      <c r="W214" s="17">
        <v>36.6</v>
      </c>
      <c r="X214" s="17">
        <v>422.28</v>
      </c>
      <c r="Y214" s="17">
        <v>6901</v>
      </c>
      <c r="Z214" s="17">
        <v>21.92</v>
      </c>
      <c r="AA214" s="17">
        <v>417.73</v>
      </c>
      <c r="AB214" s="17">
        <v>6540</v>
      </c>
      <c r="AC214" s="17">
        <v>21.1</v>
      </c>
      <c r="AD214" s="17">
        <v>410.96</v>
      </c>
      <c r="AE214" s="17">
        <v>6392</v>
      </c>
      <c r="AF214" s="17">
        <v>23.89</v>
      </c>
      <c r="AG214" s="17">
        <v>3586</v>
      </c>
      <c r="AH214" s="17">
        <v>2590</v>
      </c>
      <c r="AI214" s="17">
        <v>52.050976859999999</v>
      </c>
      <c r="AJ214" s="17">
        <v>38.254190979999997</v>
      </c>
      <c r="AK214" s="17">
        <v>-13.796786000000001</v>
      </c>
      <c r="AL214" s="17">
        <v>84.83</v>
      </c>
      <c r="AM214" s="17">
        <v>68894</v>
      </c>
      <c r="AN214" s="17">
        <v>68087</v>
      </c>
      <c r="AO214" s="17">
        <v>67987</v>
      </c>
      <c r="AP214" s="17">
        <v>67663</v>
      </c>
      <c r="AQ214" s="17">
        <v>67705</v>
      </c>
    </row>
    <row r="215" spans="1:43" ht="16" x14ac:dyDescent="0.2">
      <c r="A215" s="17">
        <v>812</v>
      </c>
      <c r="B215" s="17" t="s">
        <v>227</v>
      </c>
      <c r="C215" s="17">
        <v>2.5299999999999998</v>
      </c>
      <c r="D215" s="17">
        <v>1.84</v>
      </c>
      <c r="E215" s="17">
        <v>0.69</v>
      </c>
      <c r="F215" s="17">
        <v>37.1</v>
      </c>
      <c r="G215" s="17">
        <v>31.2</v>
      </c>
      <c r="H215" s="17">
        <v>5.9</v>
      </c>
      <c r="I215" s="17">
        <v>7.22</v>
      </c>
      <c r="J215" s="17">
        <v>87.8</v>
      </c>
      <c r="K215" s="17">
        <v>19.47</v>
      </c>
      <c r="L215" s="17">
        <v>199.1</v>
      </c>
      <c r="M215" s="17">
        <v>24.51</v>
      </c>
      <c r="N215" s="17">
        <v>2.21</v>
      </c>
      <c r="O215" s="17">
        <v>22.3</v>
      </c>
      <c r="P215" s="17">
        <v>2.29</v>
      </c>
      <c r="Q215" s="17">
        <v>5.45</v>
      </c>
      <c r="R215" s="17">
        <v>-3.16</v>
      </c>
      <c r="S215" s="17">
        <v>61.73</v>
      </c>
      <c r="T215" s="17">
        <v>49.22</v>
      </c>
      <c r="U215" s="17">
        <v>12.51</v>
      </c>
      <c r="V215" s="17">
        <v>40.1</v>
      </c>
      <c r="W215" s="17">
        <v>41.4</v>
      </c>
      <c r="X215" s="17">
        <v>289.95999999999998</v>
      </c>
      <c r="Y215" s="17">
        <v>1901</v>
      </c>
      <c r="Z215" s="17">
        <v>21.32</v>
      </c>
      <c r="AA215" s="17">
        <v>313.99</v>
      </c>
      <c r="AB215" s="17">
        <v>1775</v>
      </c>
      <c r="AC215" s="17">
        <v>18.86</v>
      </c>
      <c r="AD215" s="17">
        <v>311.42</v>
      </c>
      <c r="AE215" s="17">
        <v>1736</v>
      </c>
      <c r="AF215" s="17">
        <v>18.73</v>
      </c>
      <c r="AG215" s="17">
        <v>373</v>
      </c>
      <c r="AH215" s="17">
        <v>254</v>
      </c>
      <c r="AI215" s="17">
        <v>34.47638414</v>
      </c>
      <c r="AJ215" s="17">
        <v>22.092719840000001</v>
      </c>
      <c r="AK215" s="17">
        <v>-12.383664</v>
      </c>
      <c r="AL215" s="17">
        <v>90.17</v>
      </c>
      <c r="AM215" s="17">
        <v>10819</v>
      </c>
      <c r="AN215" s="17">
        <v>11105</v>
      </c>
      <c r="AO215" s="17">
        <v>11301</v>
      </c>
      <c r="AP215" s="17">
        <v>11357</v>
      </c>
      <c r="AQ215" s="17">
        <v>11497</v>
      </c>
    </row>
    <row r="216" spans="1:43" ht="16" x14ac:dyDescent="0.2">
      <c r="A216" s="17">
        <v>116</v>
      </c>
      <c r="B216" s="17" t="s">
        <v>228</v>
      </c>
      <c r="C216" s="17">
        <v>3.61</v>
      </c>
      <c r="D216" s="17">
        <v>0.77</v>
      </c>
      <c r="E216" s="17">
        <v>2.84</v>
      </c>
      <c r="F216" s="17">
        <v>27.1</v>
      </c>
      <c r="G216" s="17">
        <v>31.7</v>
      </c>
      <c r="H216" s="17">
        <v>-4.5999999999999996</v>
      </c>
      <c r="I216" s="17">
        <v>8.73</v>
      </c>
      <c r="J216" s="17">
        <v>130.55000000000001</v>
      </c>
      <c r="K216" s="17">
        <v>20.399999999999999</v>
      </c>
      <c r="L216" s="17">
        <v>204.2</v>
      </c>
      <c r="M216" s="17">
        <v>12.94</v>
      </c>
      <c r="N216" s="17">
        <v>0.56999999999999995</v>
      </c>
      <c r="O216" s="17">
        <v>12.37</v>
      </c>
      <c r="P216" s="17">
        <v>1.77</v>
      </c>
      <c r="Q216" s="17">
        <v>3.93</v>
      </c>
      <c r="R216" s="17">
        <v>-2.16</v>
      </c>
      <c r="S216" s="17">
        <v>68.3</v>
      </c>
      <c r="T216" s="17">
        <v>57.05</v>
      </c>
      <c r="U216" s="17">
        <v>11.25</v>
      </c>
      <c r="V216" s="17">
        <v>39.200000000000003</v>
      </c>
      <c r="W216" s="17">
        <v>39.700000000000003</v>
      </c>
      <c r="X216" s="17">
        <v>342.77</v>
      </c>
      <c r="Y216" s="17">
        <v>3223</v>
      </c>
      <c r="Z216" s="17">
        <v>21.36</v>
      </c>
      <c r="AA216" s="17">
        <v>356.31</v>
      </c>
      <c r="AB216" s="17">
        <v>3071</v>
      </c>
      <c r="AC216" s="17">
        <v>18.89</v>
      </c>
      <c r="AD216" s="17">
        <v>349.29</v>
      </c>
      <c r="AE216" s="17">
        <v>3048</v>
      </c>
      <c r="AF216" s="17">
        <v>19.850000000000001</v>
      </c>
      <c r="AG216" s="17">
        <v>1045</v>
      </c>
      <c r="AH216" s="17">
        <v>1086</v>
      </c>
      <c r="AI216" s="17">
        <v>47.940178000000003</v>
      </c>
      <c r="AJ216" s="17">
        <v>46.513620009999997</v>
      </c>
      <c r="AK216" s="17">
        <v>-1.426558</v>
      </c>
      <c r="AL216" s="17">
        <v>116.73</v>
      </c>
      <c r="AM216" s="17">
        <v>21798</v>
      </c>
      <c r="AN216" s="17">
        <v>22237</v>
      </c>
      <c r="AO216" s="17">
        <v>22250</v>
      </c>
      <c r="AP216" s="17">
        <v>22789</v>
      </c>
      <c r="AQ216" s="17">
        <v>23348</v>
      </c>
    </row>
    <row r="217" spans="1:43" ht="16" x14ac:dyDescent="0.2">
      <c r="A217" s="17">
        <v>1815</v>
      </c>
      <c r="B217" s="17" t="s">
        <v>229</v>
      </c>
      <c r="C217" s="17">
        <v>0.34</v>
      </c>
      <c r="D217" s="17">
        <v>0.12</v>
      </c>
      <c r="E217" s="17">
        <v>0.22</v>
      </c>
      <c r="F217" s="17">
        <v>21.2</v>
      </c>
      <c r="G217" s="17">
        <v>20.9</v>
      </c>
      <c r="H217" s="17">
        <v>0.3</v>
      </c>
      <c r="I217" s="17">
        <v>5.48</v>
      </c>
      <c r="J217" s="17">
        <v>65.47</v>
      </c>
      <c r="K217" s="17">
        <v>8.83</v>
      </c>
      <c r="L217" s="17">
        <v>298.5</v>
      </c>
      <c r="M217" s="17">
        <v>20.52</v>
      </c>
      <c r="N217" s="17">
        <v>0.34</v>
      </c>
      <c r="O217" s="17">
        <v>20.18</v>
      </c>
      <c r="P217" s="17">
        <v>1.54</v>
      </c>
      <c r="Q217" s="17">
        <v>1.59</v>
      </c>
      <c r="R217" s="17">
        <v>-0.05</v>
      </c>
      <c r="S217" s="17">
        <v>61</v>
      </c>
      <c r="T217" s="17">
        <v>48.2</v>
      </c>
      <c r="U217" s="17">
        <v>12.8</v>
      </c>
      <c r="V217" s="17">
        <v>37.9</v>
      </c>
      <c r="W217" s="17">
        <v>39.9</v>
      </c>
      <c r="X217" s="17">
        <v>358.06</v>
      </c>
      <c r="Y217" s="17">
        <v>1635</v>
      </c>
      <c r="Z217" s="17">
        <v>13.95</v>
      </c>
      <c r="AA217" s="17">
        <v>345.07</v>
      </c>
      <c r="AB217" s="17">
        <v>1650</v>
      </c>
      <c r="AC217" s="17">
        <v>20.32</v>
      </c>
      <c r="AD217" s="17">
        <v>338.05</v>
      </c>
      <c r="AE217" s="17">
        <v>1749</v>
      </c>
      <c r="AF217" s="17">
        <v>26.24</v>
      </c>
      <c r="AG217" s="17">
        <v>170</v>
      </c>
      <c r="AH217" s="17">
        <v>100</v>
      </c>
      <c r="AI217" s="17">
        <v>23.806189610000001</v>
      </c>
      <c r="AJ217" s="17">
        <v>14.757969299999999</v>
      </c>
      <c r="AK217" s="17">
        <v>-9.0482203000000005</v>
      </c>
      <c r="AL217" s="17">
        <v>69.22</v>
      </c>
      <c r="AM217" s="17">
        <v>7141</v>
      </c>
      <c r="AN217" s="17">
        <v>6889</v>
      </c>
      <c r="AO217" s="17">
        <v>6853</v>
      </c>
      <c r="AP217" s="17">
        <v>6814</v>
      </c>
      <c r="AQ217" s="17">
        <v>6776</v>
      </c>
    </row>
    <row r="218" spans="1:43" ht="16" x14ac:dyDescent="0.2">
      <c r="A218" s="17">
        <v>1816</v>
      </c>
      <c r="B218" s="17" t="s">
        <v>230</v>
      </c>
      <c r="C218" s="17">
        <v>2.04</v>
      </c>
      <c r="D218" s="17">
        <v>0.25</v>
      </c>
      <c r="E218" s="17">
        <v>1.79</v>
      </c>
      <c r="F218" s="17">
        <v>20.9</v>
      </c>
      <c r="G218" s="17">
        <v>14.6</v>
      </c>
      <c r="H218" s="17">
        <v>6.3</v>
      </c>
      <c r="I218" s="17">
        <v>9.26</v>
      </c>
      <c r="J218" s="17">
        <v>69.540000000000006</v>
      </c>
      <c r="K218" s="17">
        <v>11.45</v>
      </c>
      <c r="L218" s="17">
        <v>345.5</v>
      </c>
      <c r="M218" s="17">
        <v>19.57</v>
      </c>
      <c r="N218" s="17">
        <v>0.62</v>
      </c>
      <c r="O218" s="17">
        <v>18.95</v>
      </c>
      <c r="P218" s="17">
        <v>1.62</v>
      </c>
      <c r="Q218" s="17">
        <v>2.67</v>
      </c>
      <c r="R218" s="17">
        <v>-1.05</v>
      </c>
      <c r="S218" s="17">
        <v>64.3</v>
      </c>
      <c r="T218" s="17">
        <v>54.3</v>
      </c>
      <c r="U218" s="17">
        <v>10</v>
      </c>
      <c r="V218" s="17">
        <v>36.9</v>
      </c>
      <c r="W218" s="17">
        <v>37.5</v>
      </c>
      <c r="X218" s="17">
        <v>424.77</v>
      </c>
      <c r="Y218" s="17">
        <v>1737</v>
      </c>
      <c r="Z218" s="17">
        <v>18.3</v>
      </c>
      <c r="AA218" s="17">
        <v>411.75</v>
      </c>
      <c r="AB218" s="17">
        <v>1695</v>
      </c>
      <c r="AC218" s="17">
        <v>12.38</v>
      </c>
      <c r="AD218" s="17">
        <v>409.05</v>
      </c>
      <c r="AE218" s="17">
        <v>1685</v>
      </c>
      <c r="AF218" s="17">
        <v>10.53</v>
      </c>
      <c r="AG218" s="17">
        <v>752</v>
      </c>
      <c r="AH218" s="17">
        <v>501</v>
      </c>
      <c r="AI218" s="17">
        <v>48.428645029999998</v>
      </c>
      <c r="AJ218" s="17">
        <v>33.253683789999997</v>
      </c>
      <c r="AK218" s="17">
        <v>-15.174961</v>
      </c>
      <c r="AL218" s="17">
        <v>73.709999999999994</v>
      </c>
      <c r="AM218" s="17">
        <v>15528</v>
      </c>
      <c r="AN218" s="17">
        <v>15178</v>
      </c>
      <c r="AO218" s="17">
        <v>15198</v>
      </c>
      <c r="AP218" s="17">
        <v>15177</v>
      </c>
      <c r="AQ218" s="17">
        <v>15066</v>
      </c>
    </row>
    <row r="219" spans="1:43" ht="16" x14ac:dyDescent="0.2">
      <c r="A219" s="17">
        <v>1417</v>
      </c>
      <c r="B219" s="17" t="s">
        <v>231</v>
      </c>
      <c r="C219" s="17">
        <v>1.5</v>
      </c>
      <c r="D219" s="17">
        <v>0.14000000000000001</v>
      </c>
      <c r="E219" s="17">
        <v>1.36</v>
      </c>
      <c r="F219" s="17">
        <v>29.4</v>
      </c>
      <c r="G219" s="17">
        <v>23.7</v>
      </c>
      <c r="H219" s="17">
        <v>5.7</v>
      </c>
      <c r="I219" s="17">
        <v>6.29</v>
      </c>
      <c r="J219" s="17">
        <v>67.819999999999993</v>
      </c>
      <c r="K219" s="17">
        <v>11.8</v>
      </c>
      <c r="L219" s="17">
        <v>348.6</v>
      </c>
      <c r="M219" s="17">
        <v>19.27</v>
      </c>
      <c r="N219" s="17">
        <v>1.24</v>
      </c>
      <c r="O219" s="17">
        <v>18.03</v>
      </c>
      <c r="P219" s="17">
        <v>3.14</v>
      </c>
      <c r="Q219" s="17">
        <v>4.17</v>
      </c>
      <c r="R219" s="17">
        <v>-1.03</v>
      </c>
      <c r="S219" s="17">
        <v>75.66</v>
      </c>
      <c r="T219" s="17">
        <v>66.91</v>
      </c>
      <c r="U219" s="17">
        <v>8.75</v>
      </c>
      <c r="V219" s="17">
        <v>35.700000000000003</v>
      </c>
      <c r="W219" s="17">
        <v>37.5</v>
      </c>
      <c r="X219" s="17">
        <v>467.92</v>
      </c>
      <c r="Y219" s="17">
        <v>402</v>
      </c>
      <c r="Z219" s="17">
        <v>29.05</v>
      </c>
      <c r="AA219" s="17">
        <v>445.3</v>
      </c>
      <c r="AB219" s="17">
        <v>380</v>
      </c>
      <c r="AC219" s="17">
        <v>25.76</v>
      </c>
      <c r="AD219" s="17">
        <v>459.49</v>
      </c>
      <c r="AE219" s="17">
        <v>382</v>
      </c>
      <c r="AF219" s="17">
        <v>32.89</v>
      </c>
      <c r="AG219" s="17">
        <v>137</v>
      </c>
      <c r="AH219" s="17">
        <v>122</v>
      </c>
      <c r="AI219" s="17">
        <v>37.248504619999999</v>
      </c>
      <c r="AJ219" s="17">
        <v>34.16409969</v>
      </c>
      <c r="AK219" s="17">
        <v>-3.0844049</v>
      </c>
      <c r="AL219" s="17">
        <v>74.31</v>
      </c>
      <c r="AM219" s="17">
        <v>3678</v>
      </c>
      <c r="AN219" s="17">
        <v>3550</v>
      </c>
      <c r="AO219" s="17">
        <v>3523</v>
      </c>
      <c r="AP219" s="17">
        <v>3552</v>
      </c>
      <c r="AQ219" s="17">
        <v>3571</v>
      </c>
    </row>
    <row r="220" spans="1:43" ht="16" x14ac:dyDescent="0.2">
      <c r="A220" s="17">
        <v>1817</v>
      </c>
      <c r="B220" s="17" t="s">
        <v>232</v>
      </c>
      <c r="C220" s="17">
        <v>0.95</v>
      </c>
      <c r="D220" s="17">
        <v>0.14000000000000001</v>
      </c>
      <c r="E220" s="17">
        <v>0.81</v>
      </c>
      <c r="F220" s="17">
        <v>15</v>
      </c>
      <c r="G220" s="17">
        <v>14.1</v>
      </c>
      <c r="H220" s="17">
        <v>0.9</v>
      </c>
      <c r="I220" s="17">
        <v>6.79</v>
      </c>
      <c r="J220" s="17">
        <v>62.66</v>
      </c>
      <c r="K220" s="17">
        <v>12.5</v>
      </c>
      <c r="L220" s="17">
        <v>299.5</v>
      </c>
      <c r="M220" s="17">
        <v>22.8</v>
      </c>
      <c r="N220" s="17">
        <v>1.5</v>
      </c>
      <c r="O220" s="17">
        <v>21.3</v>
      </c>
      <c r="P220" s="17">
        <v>1.1299999999999999</v>
      </c>
      <c r="Q220" s="17">
        <v>1.93</v>
      </c>
      <c r="R220" s="17">
        <v>-0.8</v>
      </c>
      <c r="S220" s="17">
        <v>56.47</v>
      </c>
      <c r="T220" s="17">
        <v>43.82</v>
      </c>
      <c r="U220" s="17">
        <v>12.65</v>
      </c>
      <c r="V220" s="17">
        <v>37.200000000000003</v>
      </c>
      <c r="W220" s="17">
        <v>37.9</v>
      </c>
      <c r="X220" s="17">
        <v>357.59</v>
      </c>
      <c r="Y220" s="17">
        <v>1305</v>
      </c>
      <c r="Z220" s="17">
        <v>30.31</v>
      </c>
      <c r="AA220" s="17">
        <v>335.88</v>
      </c>
      <c r="AB220" s="17">
        <v>1246</v>
      </c>
      <c r="AC220" s="17">
        <v>26.04</v>
      </c>
      <c r="AD220" s="17">
        <v>335.45</v>
      </c>
      <c r="AE220" s="17">
        <v>1259</v>
      </c>
      <c r="AF220" s="17">
        <v>27.56</v>
      </c>
      <c r="AG220" s="17">
        <v>412</v>
      </c>
      <c r="AH220" s="17">
        <v>325</v>
      </c>
      <c r="AI220" s="17">
        <v>36.001398109999997</v>
      </c>
      <c r="AJ220" s="17">
        <v>29.449075749999999</v>
      </c>
      <c r="AK220" s="17">
        <v>-6.5523224000000004</v>
      </c>
      <c r="AL220" s="17">
        <v>70.36</v>
      </c>
      <c r="AM220" s="17">
        <v>11444</v>
      </c>
      <c r="AN220" s="17">
        <v>11025</v>
      </c>
      <c r="AO220" s="17">
        <v>11066</v>
      </c>
      <c r="AP220" s="17">
        <v>11028</v>
      </c>
      <c r="AQ220" s="17">
        <v>11036</v>
      </c>
    </row>
    <row r="221" spans="1:43" ht="16" x14ac:dyDescent="0.2">
      <c r="A221" s="17">
        <v>912</v>
      </c>
      <c r="B221" s="17" t="s">
        <v>233</v>
      </c>
      <c r="C221" s="17">
        <v>1.03</v>
      </c>
      <c r="D221" s="17">
        <v>0.35</v>
      </c>
      <c r="E221" s="17">
        <v>0.68</v>
      </c>
      <c r="F221" s="17">
        <v>36.200000000000003</v>
      </c>
      <c r="G221" s="17">
        <v>31.9</v>
      </c>
      <c r="H221" s="17">
        <v>4.3</v>
      </c>
      <c r="I221" s="17">
        <v>6.12</v>
      </c>
      <c r="J221" s="17">
        <v>76.58</v>
      </c>
      <c r="K221" s="17">
        <v>12.8</v>
      </c>
      <c r="L221" s="17">
        <v>373.6</v>
      </c>
      <c r="M221" s="17">
        <v>17.12</v>
      </c>
      <c r="N221" s="17">
        <v>2.5</v>
      </c>
      <c r="O221" s="17">
        <v>14.62</v>
      </c>
      <c r="P221" s="17">
        <v>2.71</v>
      </c>
      <c r="Q221" s="17">
        <v>4.66</v>
      </c>
      <c r="R221" s="17">
        <v>-1.95</v>
      </c>
      <c r="S221" s="17">
        <v>62.61</v>
      </c>
      <c r="T221" s="17">
        <v>53.47</v>
      </c>
      <c r="U221" s="17">
        <v>9.14</v>
      </c>
      <c r="V221" s="17">
        <v>35.5</v>
      </c>
      <c r="W221" s="17">
        <v>36.4</v>
      </c>
      <c r="X221" s="17">
        <v>507.5</v>
      </c>
      <c r="Y221" s="17">
        <v>2319</v>
      </c>
      <c r="Z221" s="17">
        <v>31.29</v>
      </c>
      <c r="AA221" s="17">
        <v>492.98</v>
      </c>
      <c r="AB221" s="17">
        <v>2259</v>
      </c>
      <c r="AC221" s="17">
        <v>30.37</v>
      </c>
      <c r="AD221" s="17">
        <v>490.91</v>
      </c>
      <c r="AE221" s="17">
        <v>2203</v>
      </c>
      <c r="AF221" s="17">
        <v>31.71</v>
      </c>
      <c r="AG221" s="17">
        <v>902</v>
      </c>
      <c r="AH221" s="17">
        <v>427</v>
      </c>
      <c r="AI221" s="17">
        <v>39.34226022</v>
      </c>
      <c r="AJ221" s="17">
        <v>19.91604478</v>
      </c>
      <c r="AK221" s="17">
        <v>-19.426214999999999</v>
      </c>
      <c r="AL221" s="17">
        <v>78.849999999999994</v>
      </c>
      <c r="AM221" s="17">
        <v>22927</v>
      </c>
      <c r="AN221" s="17">
        <v>21990</v>
      </c>
      <c r="AO221" s="17">
        <v>21886</v>
      </c>
      <c r="AP221" s="17">
        <v>21709</v>
      </c>
      <c r="AQ221" s="17">
        <v>21440</v>
      </c>
    </row>
    <row r="222" spans="1:43" ht="16" x14ac:dyDescent="0.2">
      <c r="A222" s="17">
        <v>1510</v>
      </c>
      <c r="B222" s="17" t="s">
        <v>234</v>
      </c>
      <c r="C222" s="17">
        <v>4.53</v>
      </c>
      <c r="D222" s="17">
        <v>1.31</v>
      </c>
      <c r="E222" s="17">
        <v>3.22</v>
      </c>
      <c r="F222" s="17">
        <v>25.7</v>
      </c>
      <c r="G222" s="17">
        <v>25.6</v>
      </c>
      <c r="H222" s="17">
        <v>0.1</v>
      </c>
      <c r="I222" s="17">
        <v>9.23</v>
      </c>
      <c r="J222" s="17">
        <v>91.16</v>
      </c>
      <c r="K222" s="17">
        <v>21.56</v>
      </c>
      <c r="L222" s="17">
        <v>151.80000000000001</v>
      </c>
      <c r="M222" s="17">
        <v>20.43</v>
      </c>
      <c r="N222" s="17">
        <v>2.2999999999999998</v>
      </c>
      <c r="O222" s="17">
        <v>18.13</v>
      </c>
      <c r="P222" s="17">
        <v>7.43</v>
      </c>
      <c r="Q222" s="17">
        <v>15.13</v>
      </c>
      <c r="R222" s="17">
        <v>-7.7</v>
      </c>
      <c r="S222" s="17">
        <v>67.84</v>
      </c>
      <c r="T222" s="17">
        <v>54.58</v>
      </c>
      <c r="U222" s="17">
        <v>13.26</v>
      </c>
      <c r="V222" s="17">
        <v>40</v>
      </c>
      <c r="W222" s="17">
        <v>39.5</v>
      </c>
      <c r="X222" s="17">
        <v>290.39999999999998</v>
      </c>
      <c r="Y222" s="17">
        <v>18778</v>
      </c>
      <c r="Z222" s="17">
        <v>30.36</v>
      </c>
      <c r="AA222" s="17">
        <v>291.36</v>
      </c>
      <c r="AB222" s="17">
        <v>16941</v>
      </c>
      <c r="AC222" s="17">
        <v>32.6</v>
      </c>
      <c r="AD222" s="17">
        <v>283.7</v>
      </c>
      <c r="AE222" s="17">
        <v>16081</v>
      </c>
      <c r="AF222" s="17">
        <v>29.54</v>
      </c>
      <c r="AG222" s="17">
        <v>7029</v>
      </c>
      <c r="AH222" s="17">
        <v>5277</v>
      </c>
      <c r="AI222" s="17">
        <v>43.62776436</v>
      </c>
      <c r="AJ222" s="17">
        <v>31.004153859999999</v>
      </c>
      <c r="AK222" s="17">
        <v>-12.623611</v>
      </c>
      <c r="AL222" s="17">
        <v>95.99</v>
      </c>
      <c r="AM222" s="17">
        <v>161113</v>
      </c>
      <c r="AN222" s="17">
        <v>164301</v>
      </c>
      <c r="AO222" s="17">
        <v>167286</v>
      </c>
      <c r="AP222" s="17">
        <v>168103</v>
      </c>
      <c r="AQ222" s="17">
        <v>170203</v>
      </c>
    </row>
    <row r="223" spans="1:43" ht="16" x14ac:dyDescent="0.2">
      <c r="A223" s="17">
        <v>1818</v>
      </c>
      <c r="B223" s="17" t="s">
        <v>235</v>
      </c>
      <c r="C223" s="17">
        <v>1.4</v>
      </c>
      <c r="D223" s="17">
        <v>0.05</v>
      </c>
      <c r="E223" s="17">
        <v>1.35</v>
      </c>
      <c r="F223" s="17">
        <v>13.9</v>
      </c>
      <c r="G223" s="17">
        <v>16</v>
      </c>
      <c r="H223" s="17">
        <v>-2.1</v>
      </c>
      <c r="I223" s="17">
        <v>4.91</v>
      </c>
      <c r="J223" s="17">
        <v>60.14</v>
      </c>
      <c r="K223" s="17">
        <v>8.8000000000000007</v>
      </c>
      <c r="L223" s="17">
        <v>382.4</v>
      </c>
      <c r="M223" s="17">
        <v>14.32</v>
      </c>
      <c r="N223" s="17">
        <v>0.28000000000000003</v>
      </c>
      <c r="O223" s="17">
        <v>14.04</v>
      </c>
      <c r="P223" s="17">
        <v>0.59</v>
      </c>
      <c r="Q223" s="17">
        <v>0.54</v>
      </c>
      <c r="R223" s="17">
        <v>0.05</v>
      </c>
      <c r="S223" s="17">
        <v>71.02</v>
      </c>
      <c r="T223" s="17">
        <v>58.51</v>
      </c>
      <c r="U223" s="17">
        <v>12.51</v>
      </c>
      <c r="V223" s="17">
        <v>35.799999999999997</v>
      </c>
      <c r="W223" s="17">
        <v>37</v>
      </c>
      <c r="X223" s="17">
        <v>345.56</v>
      </c>
      <c r="Y223" s="17">
        <v>921</v>
      </c>
      <c r="Z223" s="17">
        <v>27.83</v>
      </c>
      <c r="AA223" s="17">
        <v>372.43</v>
      </c>
      <c r="AB223" s="17">
        <v>922</v>
      </c>
      <c r="AC223" s="17">
        <v>33.43</v>
      </c>
      <c r="AD223" s="17">
        <v>366.27</v>
      </c>
      <c r="AE223" s="17">
        <v>929</v>
      </c>
      <c r="AF223" s="17">
        <v>32.53</v>
      </c>
      <c r="AG223" s="17">
        <v>138</v>
      </c>
      <c r="AH223" s="17">
        <v>71</v>
      </c>
      <c r="AI223" s="17">
        <v>25.022665459999999</v>
      </c>
      <c r="AJ223" s="17">
        <v>12.37364936</v>
      </c>
      <c r="AK223" s="17">
        <v>-12.649016</v>
      </c>
      <c r="AL223" s="17">
        <v>64.260000000000005</v>
      </c>
      <c r="AM223" s="17">
        <v>5515</v>
      </c>
      <c r="AN223" s="17">
        <v>5617</v>
      </c>
      <c r="AO223" s="17">
        <v>5656</v>
      </c>
      <c r="AP223" s="17">
        <v>5699</v>
      </c>
      <c r="AQ223" s="17">
        <v>5738</v>
      </c>
    </row>
    <row r="224" spans="1:43" ht="16" x14ac:dyDescent="0.2">
      <c r="A224" s="17">
        <v>213</v>
      </c>
      <c r="B224" s="17" t="s">
        <v>236</v>
      </c>
      <c r="C224" s="17">
        <v>1.83</v>
      </c>
      <c r="D224" s="17">
        <v>0.4</v>
      </c>
      <c r="E224" s="17">
        <v>1.43</v>
      </c>
      <c r="F224" s="17">
        <v>30.9</v>
      </c>
      <c r="G224" s="17">
        <v>27.9</v>
      </c>
      <c r="H224" s="17">
        <v>3</v>
      </c>
      <c r="I224" s="17">
        <v>10.83</v>
      </c>
      <c r="J224" s="17">
        <v>74.61</v>
      </c>
      <c r="K224" s="17">
        <v>11.92</v>
      </c>
      <c r="L224" s="17">
        <v>243.8</v>
      </c>
      <c r="M224" s="17">
        <v>18.97</v>
      </c>
      <c r="N224" s="17">
        <v>2.14</v>
      </c>
      <c r="O224" s="17">
        <v>16.829999999999998</v>
      </c>
      <c r="P224" s="17">
        <v>23.7</v>
      </c>
      <c r="Q224" s="17">
        <v>33.54</v>
      </c>
      <c r="R224" s="17">
        <v>-9.84</v>
      </c>
      <c r="S224" s="17">
        <v>63.38</v>
      </c>
      <c r="T224" s="17">
        <v>51.25</v>
      </c>
      <c r="U224" s="17">
        <v>12.13</v>
      </c>
      <c r="V224" s="17">
        <v>37.200000000000003</v>
      </c>
      <c r="W224" s="17">
        <v>36.9</v>
      </c>
      <c r="X224" s="17">
        <v>422.8</v>
      </c>
      <c r="Y224" s="17">
        <v>2016</v>
      </c>
      <c r="Z224" s="17">
        <v>61.26</v>
      </c>
      <c r="AA224" s="17">
        <v>415.48</v>
      </c>
      <c r="AB224" s="17">
        <v>1937</v>
      </c>
      <c r="AC224" s="17">
        <v>57.92</v>
      </c>
      <c r="AD224" s="17">
        <v>415.33</v>
      </c>
      <c r="AE224" s="17">
        <v>1952</v>
      </c>
      <c r="AF224" s="17">
        <v>54.78</v>
      </c>
      <c r="AG224" s="17">
        <v>773</v>
      </c>
      <c r="AH224" s="17">
        <v>508</v>
      </c>
      <c r="AI224" s="17">
        <v>53.961605579999997</v>
      </c>
      <c r="AJ224" s="17">
        <v>36.958894139999998</v>
      </c>
      <c r="AK224" s="17">
        <v>-17.002711000000001</v>
      </c>
      <c r="AL224" s="17">
        <v>74.42</v>
      </c>
      <c r="AM224" s="17">
        <v>14325</v>
      </c>
      <c r="AN224" s="17">
        <v>13814</v>
      </c>
      <c r="AO224" s="17">
        <v>13844</v>
      </c>
      <c r="AP224" s="17">
        <v>13767</v>
      </c>
      <c r="AQ224" s="17">
        <v>13745</v>
      </c>
    </row>
    <row r="225" spans="1:43" ht="16" x14ac:dyDescent="0.2">
      <c r="A225" s="17">
        <v>509</v>
      </c>
      <c r="B225" s="17" t="s">
        <v>237</v>
      </c>
      <c r="C225" s="17">
        <v>1.88</v>
      </c>
      <c r="D225" s="17">
        <v>0.62</v>
      </c>
      <c r="E225" s="17">
        <v>1.26</v>
      </c>
      <c r="F225" s="17">
        <v>32.700000000000003</v>
      </c>
      <c r="G225" s="17">
        <v>27.6</v>
      </c>
      <c r="H225" s="17">
        <v>5.0999999999999996</v>
      </c>
      <c r="I225" s="17">
        <v>5.55</v>
      </c>
      <c r="J225" s="17">
        <v>75.66</v>
      </c>
      <c r="K225" s="17">
        <v>10.84</v>
      </c>
      <c r="L225" s="17">
        <v>316.8</v>
      </c>
      <c r="M225" s="17">
        <v>18.23</v>
      </c>
      <c r="N225" s="17">
        <v>1.1399999999999999</v>
      </c>
      <c r="O225" s="17">
        <v>17.09</v>
      </c>
      <c r="P225" s="17">
        <v>0.81</v>
      </c>
      <c r="Q225" s="17">
        <v>1.6</v>
      </c>
      <c r="R225" s="17">
        <v>-0.79</v>
      </c>
      <c r="S225" s="17">
        <v>69.14</v>
      </c>
      <c r="T225" s="17">
        <v>59.44</v>
      </c>
      <c r="U225" s="17">
        <v>9.6999999999999993</v>
      </c>
      <c r="V225" s="17">
        <v>36.200000000000003</v>
      </c>
      <c r="W225" s="17">
        <v>36.6</v>
      </c>
      <c r="X225" s="17">
        <v>423.87</v>
      </c>
      <c r="Y225" s="17">
        <v>1711</v>
      </c>
      <c r="Z225" s="17">
        <v>20.420000000000002</v>
      </c>
      <c r="AA225" s="17">
        <v>428.03</v>
      </c>
      <c r="AB225" s="17">
        <v>1635</v>
      </c>
      <c r="AC225" s="17">
        <v>19.54</v>
      </c>
      <c r="AD225" s="17">
        <v>431.18</v>
      </c>
      <c r="AE225" s="17">
        <v>1601</v>
      </c>
      <c r="AF225" s="17">
        <v>15.99</v>
      </c>
      <c r="AG225" s="17">
        <v>417</v>
      </c>
      <c r="AH225" s="17">
        <v>239</v>
      </c>
      <c r="AI225" s="17">
        <v>28.046811949999999</v>
      </c>
      <c r="AJ225" s="17">
        <v>16.07695412</v>
      </c>
      <c r="AK225" s="17">
        <v>-11.969858</v>
      </c>
      <c r="AL225" s="17">
        <v>76.34</v>
      </c>
      <c r="AM225" s="17">
        <v>14868</v>
      </c>
      <c r="AN225" s="17">
        <v>14718</v>
      </c>
      <c r="AO225" s="17">
        <v>14839</v>
      </c>
      <c r="AP225" s="17">
        <v>14872</v>
      </c>
      <c r="AQ225" s="17">
        <v>14866</v>
      </c>
    </row>
    <row r="226" spans="1:43" ht="16" x14ac:dyDescent="0.2">
      <c r="A226" s="17">
        <v>1511</v>
      </c>
      <c r="B226" s="17" t="s">
        <v>238</v>
      </c>
      <c r="C226" s="17">
        <v>2.21</v>
      </c>
      <c r="D226" s="17">
        <v>0.86</v>
      </c>
      <c r="E226" s="17">
        <v>1.35</v>
      </c>
      <c r="F226" s="17">
        <v>37</v>
      </c>
      <c r="G226" s="17">
        <v>39.799999999999997</v>
      </c>
      <c r="H226" s="17">
        <v>-2.8</v>
      </c>
      <c r="I226" s="17">
        <v>8</v>
      </c>
      <c r="J226" s="17">
        <v>91.1</v>
      </c>
      <c r="K226" s="17">
        <v>19.62</v>
      </c>
      <c r="L226" s="17">
        <v>144.4</v>
      </c>
      <c r="M226" s="17">
        <v>25.03</v>
      </c>
      <c r="N226" s="17">
        <v>2.7</v>
      </c>
      <c r="O226" s="17">
        <v>22.33</v>
      </c>
      <c r="P226" s="17">
        <v>5.96</v>
      </c>
      <c r="Q226" s="17">
        <v>13.34</v>
      </c>
      <c r="R226" s="17">
        <v>-7.38</v>
      </c>
      <c r="S226" s="17">
        <v>68.45</v>
      </c>
      <c r="T226" s="17">
        <v>51.19</v>
      </c>
      <c r="U226" s="17">
        <v>17.260000000000002</v>
      </c>
      <c r="V226" s="17">
        <v>38.9</v>
      </c>
      <c r="W226" s="17">
        <v>39.200000000000003</v>
      </c>
      <c r="X226" s="17">
        <v>289.69</v>
      </c>
      <c r="Y226" s="17">
        <v>6787</v>
      </c>
      <c r="Z226" s="17">
        <v>27.51</v>
      </c>
      <c r="AA226" s="17">
        <v>301.16000000000003</v>
      </c>
      <c r="AB226" s="17">
        <v>6058</v>
      </c>
      <c r="AC226" s="17">
        <v>26.99</v>
      </c>
      <c r="AD226" s="17">
        <v>295.27999999999997</v>
      </c>
      <c r="AE226" s="17">
        <v>5829</v>
      </c>
      <c r="AF226" s="17">
        <v>27.71</v>
      </c>
      <c r="AG226" s="17">
        <v>2190</v>
      </c>
      <c r="AH226" s="17">
        <v>1835</v>
      </c>
      <c r="AI226" s="17">
        <v>43.214017920000003</v>
      </c>
      <c r="AJ226" s="17">
        <v>33.600673839999999</v>
      </c>
      <c r="AK226" s="17">
        <v>-9.6133441000000008</v>
      </c>
      <c r="AL226" s="17">
        <v>94.05</v>
      </c>
      <c r="AM226" s="17">
        <v>50678</v>
      </c>
      <c r="AN226" s="17">
        <v>51635</v>
      </c>
      <c r="AO226" s="17">
        <v>52690</v>
      </c>
      <c r="AP226" s="17">
        <v>53396</v>
      </c>
      <c r="AQ226" s="17">
        <v>54612</v>
      </c>
    </row>
    <row r="227" spans="1:43" ht="16" x14ac:dyDescent="0.2">
      <c r="A227" s="17">
        <v>1512</v>
      </c>
      <c r="B227" s="17" t="s">
        <v>239</v>
      </c>
      <c r="C227" s="17">
        <v>3.95</v>
      </c>
      <c r="D227" s="17">
        <v>1.37</v>
      </c>
      <c r="E227" s="17">
        <v>2.58</v>
      </c>
      <c r="F227" s="17">
        <v>34</v>
      </c>
      <c r="G227" s="17">
        <v>34.799999999999997</v>
      </c>
      <c r="H227" s="17">
        <v>-0.8</v>
      </c>
      <c r="I227" s="17">
        <v>9.1199999999999992</v>
      </c>
      <c r="J227" s="17">
        <v>107.95</v>
      </c>
      <c r="K227" s="17">
        <v>22.59</v>
      </c>
      <c r="L227" s="17">
        <v>179.5</v>
      </c>
      <c r="M227" s="17">
        <v>20.79</v>
      </c>
      <c r="N227" s="17">
        <v>1.79</v>
      </c>
      <c r="O227" s="17">
        <v>19</v>
      </c>
      <c r="P227" s="17">
        <v>6.49</v>
      </c>
      <c r="Q227" s="17">
        <v>13.31</v>
      </c>
      <c r="R227" s="17">
        <v>-6.82</v>
      </c>
      <c r="S227" s="17">
        <v>65.989999999999995</v>
      </c>
      <c r="T227" s="17">
        <v>51.51</v>
      </c>
      <c r="U227" s="17">
        <v>14.48</v>
      </c>
      <c r="V227" s="17">
        <v>41.2</v>
      </c>
      <c r="W227" s="17">
        <v>40.799999999999997</v>
      </c>
      <c r="X227" s="17">
        <v>337.94</v>
      </c>
      <c r="Y227" s="17">
        <v>14824</v>
      </c>
      <c r="Z227" s="17">
        <v>35.340000000000003</v>
      </c>
      <c r="AA227" s="17">
        <v>368.65</v>
      </c>
      <c r="AB227" s="17">
        <v>13663</v>
      </c>
      <c r="AC227" s="17">
        <v>35.950000000000003</v>
      </c>
      <c r="AD227" s="17">
        <v>361.89</v>
      </c>
      <c r="AE227" s="17">
        <v>13014</v>
      </c>
      <c r="AF227" s="17">
        <v>33.729999999999997</v>
      </c>
      <c r="AG227" s="17">
        <v>6494</v>
      </c>
      <c r="AH227" s="17">
        <v>5217</v>
      </c>
      <c r="AI227" s="17">
        <v>53.23736289</v>
      </c>
      <c r="AJ227" s="17">
        <v>42.32447956</v>
      </c>
      <c r="AK227" s="17">
        <v>-10.912883000000001</v>
      </c>
      <c r="AL227" s="17">
        <v>104.81</v>
      </c>
      <c r="AM227" s="17">
        <v>121982</v>
      </c>
      <c r="AN227" s="17">
        <v>123599</v>
      </c>
      <c r="AO227" s="17">
        <v>124283</v>
      </c>
      <c r="AP227" s="17">
        <v>123128</v>
      </c>
      <c r="AQ227" s="17">
        <v>123262</v>
      </c>
    </row>
    <row r="228" spans="1:43" ht="16" x14ac:dyDescent="0.2">
      <c r="A228" s="17">
        <v>117</v>
      </c>
      <c r="B228" s="17" t="s">
        <v>240</v>
      </c>
      <c r="C228" s="17">
        <v>2.1800000000000002</v>
      </c>
      <c r="D228" s="17">
        <v>0.32</v>
      </c>
      <c r="E228" s="17">
        <v>1.86</v>
      </c>
      <c r="F228" s="17">
        <v>24.6</v>
      </c>
      <c r="G228" s="17">
        <v>20.6</v>
      </c>
      <c r="H228" s="17">
        <v>4</v>
      </c>
      <c r="I228" s="17">
        <v>3.43</v>
      </c>
      <c r="J228" s="17">
        <v>75.66</v>
      </c>
      <c r="K228" s="17">
        <v>14.06</v>
      </c>
      <c r="L228" s="17">
        <v>300.5</v>
      </c>
      <c r="M228" s="17">
        <v>19.39</v>
      </c>
      <c r="N228" s="17">
        <v>0.78</v>
      </c>
      <c r="O228" s="17">
        <v>18.61</v>
      </c>
      <c r="P228" s="17">
        <v>0.94</v>
      </c>
      <c r="Q228" s="17">
        <v>1.49</v>
      </c>
      <c r="R228" s="17">
        <v>-0.55000000000000004</v>
      </c>
      <c r="S228" s="17">
        <v>69.86</v>
      </c>
      <c r="T228" s="17">
        <v>59.7</v>
      </c>
      <c r="U228" s="17">
        <v>10.16</v>
      </c>
      <c r="V228" s="17">
        <v>36.1</v>
      </c>
      <c r="W228" s="17">
        <v>36.4</v>
      </c>
      <c r="X228" s="17">
        <v>422.81</v>
      </c>
      <c r="Y228" s="17">
        <v>1586</v>
      </c>
      <c r="Z228" s="17">
        <v>10.58</v>
      </c>
      <c r="AA228" s="17">
        <v>409.25</v>
      </c>
      <c r="AB228" s="17">
        <v>1523</v>
      </c>
      <c r="AC228" s="17">
        <v>10.01</v>
      </c>
      <c r="AD228" s="17">
        <v>401.63</v>
      </c>
      <c r="AE228" s="17">
        <v>1503</v>
      </c>
      <c r="AF228" s="17">
        <v>11.17</v>
      </c>
      <c r="AG228" s="17">
        <v>380</v>
      </c>
      <c r="AH228" s="17">
        <v>178</v>
      </c>
      <c r="AI228" s="17">
        <v>33.167495850000002</v>
      </c>
      <c r="AJ228" s="17">
        <v>16.307833259999999</v>
      </c>
      <c r="AK228" s="17">
        <v>-16.859663000000001</v>
      </c>
      <c r="AL228" s="17">
        <v>80.42</v>
      </c>
      <c r="AM228" s="17">
        <v>11457</v>
      </c>
      <c r="AN228" s="17">
        <v>11169</v>
      </c>
      <c r="AO228" s="17">
        <v>11088</v>
      </c>
      <c r="AP228" s="17">
        <v>11013</v>
      </c>
      <c r="AQ228" s="17">
        <v>10915</v>
      </c>
    </row>
    <row r="229" spans="1:43" ht="16" x14ac:dyDescent="0.2">
      <c r="A229" s="17">
        <v>813</v>
      </c>
      <c r="B229" s="17" t="s">
        <v>241</v>
      </c>
      <c r="C229" s="17">
        <v>4.87</v>
      </c>
      <c r="D229" s="17">
        <v>2.99</v>
      </c>
      <c r="E229" s="17">
        <v>1.88</v>
      </c>
      <c r="F229" s="17">
        <v>43.5</v>
      </c>
      <c r="G229" s="17">
        <v>43.6</v>
      </c>
      <c r="H229" s="17">
        <v>-0.1</v>
      </c>
      <c r="I229" s="17">
        <v>11.26</v>
      </c>
      <c r="J229" s="17">
        <v>79.349999999999994</v>
      </c>
      <c r="K229" s="17">
        <v>14.1</v>
      </c>
      <c r="L229" s="17">
        <v>178.6</v>
      </c>
      <c r="M229" s="17">
        <v>29.97</v>
      </c>
      <c r="N229" s="17">
        <v>2.41</v>
      </c>
      <c r="O229" s="17">
        <v>27.56</v>
      </c>
      <c r="P229" s="17">
        <v>5.96</v>
      </c>
      <c r="Q229" s="17">
        <v>13.19</v>
      </c>
      <c r="R229" s="17">
        <v>-7.23</v>
      </c>
      <c r="S229" s="17">
        <v>63.08</v>
      </c>
      <c r="T229" s="17">
        <v>47.66</v>
      </c>
      <c r="U229" s="17">
        <v>15.42</v>
      </c>
      <c r="V229" s="17">
        <v>38.299999999999997</v>
      </c>
      <c r="W229" s="17">
        <v>37.700000000000003</v>
      </c>
      <c r="X229" s="17">
        <v>324.88</v>
      </c>
      <c r="Y229" s="17">
        <v>6058</v>
      </c>
      <c r="Z229" s="17">
        <v>20.53</v>
      </c>
      <c r="AA229" s="17">
        <v>342.68</v>
      </c>
      <c r="AB229" s="17">
        <v>5483</v>
      </c>
      <c r="AC229" s="17">
        <v>16.86</v>
      </c>
      <c r="AD229" s="17">
        <v>340</v>
      </c>
      <c r="AE229" s="17">
        <v>5344</v>
      </c>
      <c r="AF229" s="17">
        <v>10.36</v>
      </c>
      <c r="AG229" s="17">
        <v>2511</v>
      </c>
      <c r="AH229" s="17">
        <v>2269</v>
      </c>
      <c r="AI229" s="17">
        <v>68.805831100000006</v>
      </c>
      <c r="AJ229" s="17">
        <v>58.248190170000001</v>
      </c>
      <c r="AK229" s="17">
        <v>-10.557641</v>
      </c>
      <c r="AL229" s="17">
        <v>83.81</v>
      </c>
      <c r="AM229" s="17">
        <v>36494</v>
      </c>
      <c r="AN229" s="17">
        <v>37285</v>
      </c>
      <c r="AO229" s="17">
        <v>37933</v>
      </c>
      <c r="AP229" s="17">
        <v>38239</v>
      </c>
      <c r="AQ229" s="17">
        <v>38954</v>
      </c>
    </row>
    <row r="230" spans="1:43" ht="16" x14ac:dyDescent="0.2">
      <c r="A230" s="17">
        <v>1513</v>
      </c>
      <c r="B230" s="17" t="s">
        <v>242</v>
      </c>
      <c r="C230" s="17">
        <v>3.98</v>
      </c>
      <c r="D230" s="17">
        <v>0.85</v>
      </c>
      <c r="E230" s="17">
        <v>3.13</v>
      </c>
      <c r="F230" s="17">
        <v>59.9</v>
      </c>
      <c r="G230" s="17">
        <v>44.3</v>
      </c>
      <c r="H230" s="17">
        <v>15.6</v>
      </c>
      <c r="I230" s="17">
        <v>8.17</v>
      </c>
      <c r="J230" s="17">
        <v>127.63</v>
      </c>
      <c r="K230" s="17">
        <v>15.86</v>
      </c>
      <c r="L230" s="17">
        <v>167.8</v>
      </c>
      <c r="M230" s="17">
        <v>20.23</v>
      </c>
      <c r="N230" s="17">
        <v>1.51</v>
      </c>
      <c r="O230" s="17">
        <v>18.72</v>
      </c>
      <c r="P230" s="17">
        <v>8.08</v>
      </c>
      <c r="Q230" s="17">
        <v>16.03</v>
      </c>
      <c r="R230" s="17">
        <v>-7.95</v>
      </c>
      <c r="S230" s="17">
        <v>61.71</v>
      </c>
      <c r="T230" s="17">
        <v>47.81</v>
      </c>
      <c r="U230" s="17">
        <v>13.9</v>
      </c>
      <c r="V230" s="17">
        <v>41</v>
      </c>
      <c r="W230" s="17">
        <v>41</v>
      </c>
      <c r="X230" s="17">
        <v>322.64999999999998</v>
      </c>
      <c r="Y230" s="17">
        <v>1709</v>
      </c>
      <c r="Z230" s="17">
        <v>30.16</v>
      </c>
      <c r="AA230" s="17">
        <v>335.91</v>
      </c>
      <c r="AB230" s="17">
        <v>1585</v>
      </c>
      <c r="AC230" s="17">
        <v>31.25</v>
      </c>
      <c r="AD230" s="17">
        <v>330.39</v>
      </c>
      <c r="AE230" s="17">
        <v>1574</v>
      </c>
      <c r="AF230" s="17">
        <v>30.99</v>
      </c>
      <c r="AG230" s="17">
        <v>1191</v>
      </c>
      <c r="AH230" s="17">
        <v>760</v>
      </c>
      <c r="AI230" s="17">
        <v>83.790628960000006</v>
      </c>
      <c r="AJ230" s="17">
        <v>51.894844659999997</v>
      </c>
      <c r="AK230" s="17">
        <v>-31.895783999999999</v>
      </c>
      <c r="AL230" s="17">
        <v>120.33</v>
      </c>
      <c r="AM230" s="17">
        <v>14214</v>
      </c>
      <c r="AN230" s="17">
        <v>14207</v>
      </c>
      <c r="AO230" s="17">
        <v>14282</v>
      </c>
      <c r="AP230" s="17">
        <v>14469</v>
      </c>
      <c r="AQ230" s="17">
        <v>14645</v>
      </c>
    </row>
    <row r="231" spans="1:43" ht="16" x14ac:dyDescent="0.2">
      <c r="A231" s="17">
        <v>1111</v>
      </c>
      <c r="B231" s="17" t="s">
        <v>243</v>
      </c>
      <c r="C231" s="17">
        <v>4.88</v>
      </c>
      <c r="D231" s="17">
        <v>1.78</v>
      </c>
      <c r="E231" s="17">
        <v>3.1</v>
      </c>
      <c r="F231" s="17">
        <v>28.4</v>
      </c>
      <c r="G231" s="17">
        <v>30</v>
      </c>
      <c r="H231" s="17">
        <v>-1.6</v>
      </c>
      <c r="I231" s="17">
        <v>9.1</v>
      </c>
      <c r="J231" s="17">
        <v>93.61</v>
      </c>
      <c r="K231" s="17">
        <v>21.44</v>
      </c>
      <c r="L231" s="17">
        <v>129.80000000000001</v>
      </c>
      <c r="M231" s="17">
        <v>21.16</v>
      </c>
      <c r="N231" s="17">
        <v>2.5</v>
      </c>
      <c r="O231" s="17">
        <v>18.66</v>
      </c>
      <c r="P231" s="17">
        <v>3.34</v>
      </c>
      <c r="Q231" s="17">
        <v>7.47</v>
      </c>
      <c r="R231" s="17">
        <v>-4.13</v>
      </c>
      <c r="S231" s="17">
        <v>65.12</v>
      </c>
      <c r="T231" s="17">
        <v>52.52</v>
      </c>
      <c r="U231" s="17">
        <v>12.6</v>
      </c>
      <c r="V231" s="17">
        <v>40.299999999999997</v>
      </c>
      <c r="W231" s="17">
        <v>40.200000000000003</v>
      </c>
      <c r="X231" s="17">
        <v>260.83</v>
      </c>
      <c r="Y231" s="17">
        <v>47722</v>
      </c>
      <c r="Z231" s="17">
        <v>20.66</v>
      </c>
      <c r="AA231" s="17">
        <v>259.57</v>
      </c>
      <c r="AB231" s="17">
        <v>43324</v>
      </c>
      <c r="AC231" s="17">
        <v>21.54</v>
      </c>
      <c r="AD231" s="17">
        <v>255.78</v>
      </c>
      <c r="AE231" s="17">
        <v>42462</v>
      </c>
      <c r="AF231" s="17">
        <v>18.04</v>
      </c>
      <c r="AG231" s="17">
        <v>16818</v>
      </c>
      <c r="AH231" s="17">
        <v>12916</v>
      </c>
      <c r="AI231" s="17">
        <v>44.393177100000003</v>
      </c>
      <c r="AJ231" s="17">
        <v>33.061489870000003</v>
      </c>
      <c r="AK231" s="17">
        <v>-11.331687000000001</v>
      </c>
      <c r="AL231" s="17">
        <v>97.85</v>
      </c>
      <c r="AM231" s="17">
        <v>378842</v>
      </c>
      <c r="AN231" s="17">
        <v>384247</v>
      </c>
      <c r="AO231" s="17">
        <v>387157</v>
      </c>
      <c r="AP231" s="17">
        <v>387235</v>
      </c>
      <c r="AQ231" s="17">
        <v>390666</v>
      </c>
    </row>
    <row r="232" spans="1:43" ht="16" x14ac:dyDescent="0.2">
      <c r="A232" s="17">
        <v>1112</v>
      </c>
      <c r="B232" s="17" t="s">
        <v>244</v>
      </c>
      <c r="C232" s="17">
        <v>2.8</v>
      </c>
      <c r="D232" s="17">
        <v>0.55000000000000004</v>
      </c>
      <c r="E232" s="17">
        <v>2.25</v>
      </c>
      <c r="F232" s="17">
        <v>33</v>
      </c>
      <c r="G232" s="17">
        <v>33.9</v>
      </c>
      <c r="H232" s="17">
        <v>-0.9</v>
      </c>
      <c r="I232" s="17">
        <v>4.88</v>
      </c>
      <c r="J232" s="17">
        <v>97.01</v>
      </c>
      <c r="K232" s="17">
        <v>15.93</v>
      </c>
      <c r="L232" s="17">
        <v>138.30000000000001</v>
      </c>
      <c r="M232" s="17">
        <v>22.59</v>
      </c>
      <c r="N232" s="17">
        <v>1.42</v>
      </c>
      <c r="O232" s="17">
        <v>21.17</v>
      </c>
      <c r="P232" s="17">
        <v>6.93</v>
      </c>
      <c r="Q232" s="17">
        <v>14.41</v>
      </c>
      <c r="R232" s="17">
        <v>-7.48</v>
      </c>
      <c r="S232" s="17">
        <v>70.55</v>
      </c>
      <c r="T232" s="17">
        <v>56.95</v>
      </c>
      <c r="U232" s="17">
        <v>13.6</v>
      </c>
      <c r="V232" s="17">
        <v>40.1</v>
      </c>
      <c r="W232" s="17">
        <v>39.799999999999997</v>
      </c>
      <c r="X232" s="17">
        <v>294</v>
      </c>
      <c r="Y232" s="17">
        <v>1384</v>
      </c>
      <c r="Z232" s="17">
        <v>10.94</v>
      </c>
      <c r="AA232" s="17">
        <v>310.79000000000002</v>
      </c>
      <c r="AB232" s="17">
        <v>1292</v>
      </c>
      <c r="AC232" s="17">
        <v>13.24</v>
      </c>
      <c r="AD232" s="17">
        <v>314.7</v>
      </c>
      <c r="AE232" s="17">
        <v>1284</v>
      </c>
      <c r="AF232" s="17">
        <v>10.4</v>
      </c>
      <c r="AG232" s="17">
        <v>332</v>
      </c>
      <c r="AH232" s="17">
        <v>261</v>
      </c>
      <c r="AI232" s="17">
        <v>32.393404230000002</v>
      </c>
      <c r="AJ232" s="17">
        <v>22.758981510000002</v>
      </c>
      <c r="AK232" s="17">
        <v>-9.6344227</v>
      </c>
      <c r="AL232" s="17">
        <v>85.81</v>
      </c>
      <c r="AM232" s="17">
        <v>10249</v>
      </c>
      <c r="AN232" s="17">
        <v>10393</v>
      </c>
      <c r="AO232" s="17">
        <v>10646</v>
      </c>
      <c r="AP232" s="17">
        <v>11125</v>
      </c>
      <c r="AQ232" s="17">
        <v>11468</v>
      </c>
    </row>
    <row r="233" spans="1:43" ht="16" x14ac:dyDescent="0.2">
      <c r="A233" s="17">
        <v>615</v>
      </c>
      <c r="B233" s="17" t="s">
        <v>245</v>
      </c>
      <c r="C233" s="17">
        <v>0.91</v>
      </c>
      <c r="D233" s="17">
        <v>0.24</v>
      </c>
      <c r="E233" s="17">
        <v>0.67</v>
      </c>
      <c r="F233" s="17">
        <v>14.4</v>
      </c>
      <c r="G233" s="17">
        <v>16.600000000000001</v>
      </c>
      <c r="H233" s="17">
        <v>-2.2000000000000002</v>
      </c>
      <c r="I233" s="17">
        <v>5.16</v>
      </c>
      <c r="J233" s="17">
        <v>71.930000000000007</v>
      </c>
      <c r="K233" s="17">
        <v>13.26</v>
      </c>
      <c r="L233" s="17">
        <v>349.2</v>
      </c>
      <c r="M233" s="17">
        <v>17.739999999999998</v>
      </c>
      <c r="N233" s="17">
        <v>1.27</v>
      </c>
      <c r="O233" s="17">
        <v>16.47</v>
      </c>
      <c r="P233" s="17">
        <v>2.77</v>
      </c>
      <c r="Q233" s="17">
        <v>5.53</v>
      </c>
      <c r="R233" s="17">
        <v>-2.76</v>
      </c>
      <c r="S233" s="17">
        <v>64.39</v>
      </c>
      <c r="T233" s="17">
        <v>53.23</v>
      </c>
      <c r="U233" s="17">
        <v>11.16</v>
      </c>
      <c r="V233" s="17">
        <v>34.700000000000003</v>
      </c>
      <c r="W233" s="17">
        <v>35.6</v>
      </c>
      <c r="X233" s="17">
        <v>446.54</v>
      </c>
      <c r="Y233" s="17">
        <v>1622</v>
      </c>
      <c r="Z233" s="17">
        <v>11.57</v>
      </c>
      <c r="AA233" s="17">
        <v>451.58</v>
      </c>
      <c r="AB233" s="17">
        <v>1574</v>
      </c>
      <c r="AC233" s="17">
        <v>12.03</v>
      </c>
      <c r="AD233" s="17">
        <v>453.83</v>
      </c>
      <c r="AE233" s="17">
        <v>1570</v>
      </c>
      <c r="AF233" s="17">
        <v>12.43</v>
      </c>
      <c r="AG233" s="17">
        <v>517</v>
      </c>
      <c r="AH233" s="17">
        <v>338</v>
      </c>
      <c r="AI233" s="17">
        <v>28.882681560000002</v>
      </c>
      <c r="AJ233" s="17">
        <v>19.710753440000001</v>
      </c>
      <c r="AK233" s="17">
        <v>-9.1719281000000006</v>
      </c>
      <c r="AL233" s="17">
        <v>74.599999999999994</v>
      </c>
      <c r="AM233" s="17">
        <v>17900</v>
      </c>
      <c r="AN233" s="17">
        <v>17320</v>
      </c>
      <c r="AO233" s="17">
        <v>17312</v>
      </c>
      <c r="AP233" s="17">
        <v>17279</v>
      </c>
      <c r="AQ233" s="17">
        <v>17148</v>
      </c>
    </row>
    <row r="234" spans="1:43" ht="16" x14ac:dyDescent="0.2">
      <c r="A234" s="17">
        <v>1215</v>
      </c>
      <c r="B234" s="17" t="s">
        <v>246</v>
      </c>
      <c r="C234" s="17">
        <v>1.41</v>
      </c>
      <c r="D234" s="17">
        <v>0.05</v>
      </c>
      <c r="E234" s="17">
        <v>1.36</v>
      </c>
      <c r="F234" s="17">
        <v>30.4</v>
      </c>
      <c r="G234" s="17">
        <v>26.2</v>
      </c>
      <c r="H234" s="17">
        <v>4.2</v>
      </c>
      <c r="I234" s="17">
        <v>8.0399999999999991</v>
      </c>
      <c r="J234" s="17">
        <v>70.349999999999994</v>
      </c>
      <c r="K234" s="17">
        <v>11.32</v>
      </c>
      <c r="L234" s="17">
        <v>284.8</v>
      </c>
      <c r="M234" s="17">
        <v>24.49</v>
      </c>
      <c r="N234" s="17">
        <v>2.02</v>
      </c>
      <c r="O234" s="17">
        <v>22.47</v>
      </c>
      <c r="P234" s="17">
        <v>7.63</v>
      </c>
      <c r="Q234" s="17">
        <v>12.43</v>
      </c>
      <c r="R234" s="17">
        <v>-4.8</v>
      </c>
      <c r="S234" s="17">
        <v>67.95</v>
      </c>
      <c r="T234" s="17">
        <v>57.87</v>
      </c>
      <c r="U234" s="17">
        <v>10.08</v>
      </c>
      <c r="V234" s="17">
        <v>36.9</v>
      </c>
      <c r="W234" s="17">
        <v>35.5</v>
      </c>
      <c r="X234" s="17">
        <v>515.78</v>
      </c>
      <c r="Y234" s="17">
        <v>663</v>
      </c>
      <c r="Z234" s="17">
        <v>38.56</v>
      </c>
      <c r="AA234" s="17">
        <v>521.59</v>
      </c>
      <c r="AB234" s="17">
        <v>631</v>
      </c>
      <c r="AC234" s="17">
        <v>36.700000000000003</v>
      </c>
      <c r="AD234" s="17">
        <v>529.55999999999995</v>
      </c>
      <c r="AE234" s="17">
        <v>632</v>
      </c>
      <c r="AF234" s="17">
        <v>41.78</v>
      </c>
      <c r="AG234" s="17">
        <v>252</v>
      </c>
      <c r="AH234" s="17">
        <v>190</v>
      </c>
      <c r="AI234" s="17">
        <v>54.961832059999999</v>
      </c>
      <c r="AJ234" s="17">
        <v>43.240782889999998</v>
      </c>
      <c r="AK234" s="17">
        <v>-11.721049000000001</v>
      </c>
      <c r="AL234" s="17">
        <v>72.89</v>
      </c>
      <c r="AM234" s="17">
        <v>4585</v>
      </c>
      <c r="AN234" s="17">
        <v>4386</v>
      </c>
      <c r="AO234" s="17">
        <v>4394</v>
      </c>
      <c r="AP234" s="17">
        <v>4424</v>
      </c>
      <c r="AQ234" s="17">
        <v>4394</v>
      </c>
    </row>
    <row r="235" spans="1:43" ht="16" x14ac:dyDescent="0.2">
      <c r="A235" s="17">
        <v>616</v>
      </c>
      <c r="B235" s="17" t="s">
        <v>247</v>
      </c>
      <c r="C235" s="17">
        <v>1.33</v>
      </c>
      <c r="D235" s="17">
        <v>1.06</v>
      </c>
      <c r="E235" s="17">
        <v>0.27</v>
      </c>
      <c r="F235" s="17">
        <v>21.5</v>
      </c>
      <c r="G235" s="17">
        <v>27.7</v>
      </c>
      <c r="H235" s="17">
        <v>-6.2</v>
      </c>
      <c r="I235" s="17">
        <v>5.52</v>
      </c>
      <c r="J235" s="17">
        <v>69.56</v>
      </c>
      <c r="K235" s="17">
        <v>10.63</v>
      </c>
      <c r="L235" s="17">
        <v>267.2</v>
      </c>
      <c r="M235" s="17">
        <v>17.829999999999998</v>
      </c>
      <c r="N235" s="17">
        <v>0.39</v>
      </c>
      <c r="O235" s="17">
        <v>17.440000000000001</v>
      </c>
      <c r="P235" s="17">
        <v>2.11</v>
      </c>
      <c r="Q235" s="17">
        <v>4.2</v>
      </c>
      <c r="R235" s="17">
        <v>-2.09</v>
      </c>
      <c r="S235" s="17">
        <v>63.51</v>
      </c>
      <c r="T235" s="17">
        <v>53.14</v>
      </c>
      <c r="U235" s="17">
        <v>10.37</v>
      </c>
      <c r="V235" s="17">
        <v>35.6</v>
      </c>
      <c r="W235" s="17">
        <v>35.9</v>
      </c>
      <c r="X235" s="17">
        <v>417.7</v>
      </c>
      <c r="Y235" s="17">
        <v>1188</v>
      </c>
      <c r="Z235" s="17">
        <v>23.54</v>
      </c>
      <c r="AA235" s="17">
        <v>415.42</v>
      </c>
      <c r="AB235" s="17">
        <v>1138</v>
      </c>
      <c r="AC235" s="17">
        <v>22.31</v>
      </c>
      <c r="AD235" s="17">
        <v>419.85</v>
      </c>
      <c r="AE235" s="17">
        <v>1100</v>
      </c>
      <c r="AF235" s="17">
        <v>18.899999999999999</v>
      </c>
      <c r="AG235" s="17">
        <v>378</v>
      </c>
      <c r="AH235" s="17">
        <v>237</v>
      </c>
      <c r="AI235" s="17">
        <v>33.036182490000002</v>
      </c>
      <c r="AJ235" s="17">
        <v>20.771253290000001</v>
      </c>
      <c r="AK235" s="17">
        <v>-12.264929</v>
      </c>
      <c r="AL235" s="17">
        <v>73.78</v>
      </c>
      <c r="AM235" s="17">
        <v>11442</v>
      </c>
      <c r="AN235" s="17">
        <v>11147</v>
      </c>
      <c r="AO235" s="17">
        <v>11266</v>
      </c>
      <c r="AP235" s="17">
        <v>11347</v>
      </c>
      <c r="AQ235" s="17">
        <v>11410</v>
      </c>
    </row>
    <row r="236" spans="1:43" ht="16" x14ac:dyDescent="0.2">
      <c r="A236" s="17">
        <v>1819</v>
      </c>
      <c r="B236" s="17" t="s">
        <v>248</v>
      </c>
      <c r="C236" s="17">
        <v>0.59</v>
      </c>
      <c r="D236" s="17">
        <v>0.02</v>
      </c>
      <c r="E236" s="17">
        <v>0.56999999999999995</v>
      </c>
      <c r="F236" s="17">
        <v>17.7</v>
      </c>
      <c r="G236" s="17">
        <v>14.2</v>
      </c>
      <c r="H236" s="17">
        <v>3.5</v>
      </c>
      <c r="I236" s="17">
        <v>7.59</v>
      </c>
      <c r="J236" s="17">
        <v>55.94</v>
      </c>
      <c r="K236" s="17">
        <v>9.02</v>
      </c>
      <c r="L236" s="17">
        <v>388.2</v>
      </c>
      <c r="M236" s="17">
        <v>22.44</v>
      </c>
      <c r="N236" s="17">
        <v>0.71</v>
      </c>
      <c r="O236" s="17">
        <v>21.73</v>
      </c>
      <c r="P236" s="17">
        <v>1.21</v>
      </c>
      <c r="Q236" s="17">
        <v>1.46</v>
      </c>
      <c r="R236" s="17">
        <v>-0.25</v>
      </c>
      <c r="S236" s="17">
        <v>60.61</v>
      </c>
      <c r="T236" s="17">
        <v>50.76</v>
      </c>
      <c r="U236" s="17">
        <v>9.85</v>
      </c>
      <c r="V236" s="17">
        <v>36.200000000000003</v>
      </c>
      <c r="W236" s="17">
        <v>39</v>
      </c>
      <c r="X236" s="17">
        <v>385.88</v>
      </c>
      <c r="Y236" s="17">
        <v>831</v>
      </c>
      <c r="Z236" s="17">
        <v>54.44</v>
      </c>
      <c r="AA236" s="17">
        <v>314.20999999999998</v>
      </c>
      <c r="AB236" s="17">
        <v>856</v>
      </c>
      <c r="AC236" s="17">
        <v>44.45</v>
      </c>
      <c r="AD236" s="17">
        <v>308.97000000000003</v>
      </c>
      <c r="AE236" s="17">
        <v>914</v>
      </c>
      <c r="AF236" s="17">
        <v>46.04</v>
      </c>
      <c r="AG236" s="17">
        <v>215</v>
      </c>
      <c r="AH236" s="17">
        <v>112</v>
      </c>
      <c r="AI236" s="17">
        <v>40.059623629999997</v>
      </c>
      <c r="AJ236" s="17">
        <v>22.20900258</v>
      </c>
      <c r="AK236" s="17">
        <v>-17.850621</v>
      </c>
      <c r="AL236" s="17">
        <v>64.11</v>
      </c>
      <c r="AM236" s="17">
        <v>5367</v>
      </c>
      <c r="AN236" s="17">
        <v>4990</v>
      </c>
      <c r="AO236" s="17">
        <v>5023</v>
      </c>
      <c r="AP236" s="17">
        <v>5039</v>
      </c>
      <c r="AQ236" s="17">
        <v>5043</v>
      </c>
    </row>
    <row r="237" spans="1:43" ht="16" x14ac:dyDescent="0.2">
      <c r="A237" s="17">
        <v>1820</v>
      </c>
      <c r="B237" s="17" t="s">
        <v>249</v>
      </c>
      <c r="C237" s="17">
        <v>0.8</v>
      </c>
      <c r="D237" s="17">
        <v>7.0000000000000007E-2</v>
      </c>
      <c r="E237" s="17">
        <v>0.73</v>
      </c>
      <c r="F237" s="17">
        <v>16.5</v>
      </c>
      <c r="G237" s="17">
        <v>14.8</v>
      </c>
      <c r="H237" s="17">
        <v>1.7</v>
      </c>
      <c r="I237" s="17">
        <v>8.34</v>
      </c>
      <c r="J237" s="17">
        <v>63.36</v>
      </c>
      <c r="K237" s="17">
        <v>11.12</v>
      </c>
      <c r="L237" s="17">
        <v>225</v>
      </c>
      <c r="M237" s="17">
        <v>22.52</v>
      </c>
      <c r="N237" s="17">
        <v>1.07</v>
      </c>
      <c r="O237" s="17">
        <v>21.45</v>
      </c>
      <c r="P237" s="17">
        <v>2.1</v>
      </c>
      <c r="Q237" s="17">
        <v>2.99</v>
      </c>
      <c r="R237" s="17">
        <v>-0.89</v>
      </c>
      <c r="S237" s="17">
        <v>59.77</v>
      </c>
      <c r="T237" s="17">
        <v>46.94</v>
      </c>
      <c r="U237" s="17">
        <v>12.83</v>
      </c>
      <c r="V237" s="17">
        <v>36.6</v>
      </c>
      <c r="W237" s="17">
        <v>38</v>
      </c>
      <c r="X237" s="17">
        <v>339.36</v>
      </c>
      <c r="Y237" s="17">
        <v>962</v>
      </c>
      <c r="Z237" s="17">
        <v>36.24</v>
      </c>
      <c r="AA237" s="17">
        <v>318.32</v>
      </c>
      <c r="AB237" s="17">
        <v>911</v>
      </c>
      <c r="AC237" s="17">
        <v>30.71</v>
      </c>
      <c r="AD237" s="17">
        <v>316.70999999999998</v>
      </c>
      <c r="AE237" s="17">
        <v>925</v>
      </c>
      <c r="AF237" s="17">
        <v>35.340000000000003</v>
      </c>
      <c r="AG237" s="17">
        <v>319</v>
      </c>
      <c r="AH237" s="17">
        <v>220</v>
      </c>
      <c r="AI237" s="17">
        <v>43.020903570000002</v>
      </c>
      <c r="AJ237" s="17">
        <v>29.419630919999999</v>
      </c>
      <c r="AK237" s="17">
        <v>-13.601273000000001</v>
      </c>
      <c r="AL237" s="17">
        <v>70.23</v>
      </c>
      <c r="AM237" s="17">
        <v>7415</v>
      </c>
      <c r="AN237" s="17">
        <v>7316</v>
      </c>
      <c r="AO237" s="17">
        <v>7350</v>
      </c>
      <c r="AP237" s="17">
        <v>7381</v>
      </c>
      <c r="AQ237" s="17">
        <v>7478</v>
      </c>
    </row>
    <row r="238" spans="1:43" ht="16" x14ac:dyDescent="0.2">
      <c r="A238" s="17">
        <v>814</v>
      </c>
      <c r="B238" s="17" t="s">
        <v>250</v>
      </c>
      <c r="C238" s="17">
        <v>6.31</v>
      </c>
      <c r="D238" s="17">
        <v>4.49</v>
      </c>
      <c r="E238" s="17">
        <v>1.82</v>
      </c>
      <c r="F238" s="17">
        <v>46.5</v>
      </c>
      <c r="G238" s="17">
        <v>39.200000000000003</v>
      </c>
      <c r="H238" s="17">
        <v>7.3</v>
      </c>
      <c r="I238" s="17">
        <v>9.1300000000000008</v>
      </c>
      <c r="J238" s="17">
        <v>94.35</v>
      </c>
      <c r="K238" s="17">
        <v>17.2</v>
      </c>
      <c r="L238" s="17">
        <v>266.2</v>
      </c>
      <c r="M238" s="17">
        <v>22.62</v>
      </c>
      <c r="N238" s="17">
        <v>1.62</v>
      </c>
      <c r="O238" s="17">
        <v>21</v>
      </c>
      <c r="P238" s="17">
        <v>2.52</v>
      </c>
      <c r="Q238" s="17">
        <v>5.43</v>
      </c>
      <c r="R238" s="17">
        <v>-2.91</v>
      </c>
      <c r="S238" s="17">
        <v>64.02</v>
      </c>
      <c r="T238" s="17">
        <v>49.03</v>
      </c>
      <c r="U238" s="17">
        <v>14.99</v>
      </c>
      <c r="V238" s="17">
        <v>41.1</v>
      </c>
      <c r="W238" s="17">
        <v>40.5</v>
      </c>
      <c r="X238" s="17">
        <v>303.02999999999997</v>
      </c>
      <c r="Y238" s="17">
        <v>5013</v>
      </c>
      <c r="Z238" s="17">
        <v>16.559999999999999</v>
      </c>
      <c r="AA238" s="17">
        <v>347.02</v>
      </c>
      <c r="AB238" s="17">
        <v>4428</v>
      </c>
      <c r="AC238" s="17">
        <v>17.05</v>
      </c>
      <c r="AD238" s="17">
        <v>345.12</v>
      </c>
      <c r="AE238" s="17">
        <v>4619</v>
      </c>
      <c r="AF238" s="17">
        <v>9.1999999999999993</v>
      </c>
      <c r="AG238" s="17">
        <v>1325</v>
      </c>
      <c r="AH238" s="17">
        <v>922</v>
      </c>
      <c r="AI238" s="17">
        <v>49.998113279999998</v>
      </c>
      <c r="AJ238" s="17">
        <v>33.317674269999998</v>
      </c>
      <c r="AK238" s="17">
        <v>-16.680439</v>
      </c>
      <c r="AL238" s="17">
        <v>93.74</v>
      </c>
      <c r="AM238" s="17">
        <v>26501</v>
      </c>
      <c r="AN238" s="17">
        <v>27369</v>
      </c>
      <c r="AO238" s="17">
        <v>27694</v>
      </c>
      <c r="AP238" s="17">
        <v>27524</v>
      </c>
      <c r="AQ238" s="17">
        <v>27673</v>
      </c>
    </row>
    <row r="239" spans="1:43" ht="16" x14ac:dyDescent="0.2">
      <c r="A239" s="17">
        <v>310</v>
      </c>
      <c r="B239" s="17" t="s">
        <v>251</v>
      </c>
      <c r="C239" s="17">
        <v>0.57999999999999996</v>
      </c>
      <c r="D239" s="17">
        <v>0.19</v>
      </c>
      <c r="E239" s="17">
        <v>0.39</v>
      </c>
      <c r="F239" s="17">
        <v>32.4</v>
      </c>
      <c r="G239" s="17">
        <v>26.2</v>
      </c>
      <c r="H239" s="17">
        <v>6.2</v>
      </c>
      <c r="I239" s="17">
        <v>10.039999999999999</v>
      </c>
      <c r="J239" s="17">
        <v>63.79</v>
      </c>
      <c r="K239" s="17">
        <v>9.15</v>
      </c>
      <c r="L239" s="17">
        <v>321.7</v>
      </c>
      <c r="M239" s="17">
        <v>20.350000000000001</v>
      </c>
      <c r="N239" s="17">
        <v>0.66</v>
      </c>
      <c r="O239" s="17">
        <v>19.690000000000001</v>
      </c>
      <c r="P239" s="17">
        <v>1.94</v>
      </c>
      <c r="Q239" s="17">
        <v>4.04</v>
      </c>
      <c r="R239" s="17">
        <v>-2.1</v>
      </c>
      <c r="S239" s="17">
        <v>65.319999999999993</v>
      </c>
      <c r="T239" s="17">
        <v>55.59</v>
      </c>
      <c r="U239" s="17">
        <v>9.73</v>
      </c>
      <c r="V239" s="17">
        <v>35.799999999999997</v>
      </c>
      <c r="W239" s="17">
        <v>37.700000000000003</v>
      </c>
      <c r="X239" s="17">
        <v>430.14</v>
      </c>
      <c r="Y239" s="17">
        <v>927</v>
      </c>
      <c r="Z239" s="17">
        <v>9.26</v>
      </c>
      <c r="AA239" s="17">
        <v>432.08</v>
      </c>
      <c r="AB239" s="17">
        <v>897</v>
      </c>
      <c r="AC239" s="17">
        <v>11.56</v>
      </c>
      <c r="AD239" s="17">
        <v>430.05</v>
      </c>
      <c r="AE239" s="17">
        <v>847</v>
      </c>
      <c r="AF239" s="17">
        <v>11.52</v>
      </c>
      <c r="AG239" s="17">
        <v>357</v>
      </c>
      <c r="AH239" s="17">
        <v>268</v>
      </c>
      <c r="AI239" s="17">
        <v>53.80557649</v>
      </c>
      <c r="AJ239" s="17">
        <v>42.09864907</v>
      </c>
      <c r="AK239" s="17">
        <v>-11.706927</v>
      </c>
      <c r="AL239" s="17">
        <v>67.12</v>
      </c>
      <c r="AM239" s="17">
        <v>6635</v>
      </c>
      <c r="AN239" s="17">
        <v>6415</v>
      </c>
      <c r="AO239" s="17">
        <v>6405</v>
      </c>
      <c r="AP239" s="17">
        <v>6368</v>
      </c>
      <c r="AQ239" s="17">
        <v>6366</v>
      </c>
    </row>
    <row r="240" spans="1:43" ht="16" x14ac:dyDescent="0.2">
      <c r="A240" s="17">
        <v>1418</v>
      </c>
      <c r="B240" s="17" t="s">
        <v>252</v>
      </c>
      <c r="C240" s="17">
        <v>1.45</v>
      </c>
      <c r="D240" s="17">
        <v>0.61</v>
      </c>
      <c r="E240" s="17">
        <v>0.84</v>
      </c>
      <c r="F240" s="17">
        <v>30.9</v>
      </c>
      <c r="G240" s="17">
        <v>28.5</v>
      </c>
      <c r="H240" s="17">
        <v>2.4</v>
      </c>
      <c r="I240" s="17">
        <v>6.65</v>
      </c>
      <c r="J240" s="17">
        <v>86.55</v>
      </c>
      <c r="K240" s="17">
        <v>17.95</v>
      </c>
      <c r="L240" s="17">
        <v>303.5</v>
      </c>
      <c r="M240" s="17">
        <v>20.67</v>
      </c>
      <c r="N240" s="17">
        <v>1.63</v>
      </c>
      <c r="O240" s="17">
        <v>19.04</v>
      </c>
      <c r="P240" s="17">
        <v>2.54</v>
      </c>
      <c r="Q240" s="17">
        <v>4.8499999999999996</v>
      </c>
      <c r="R240" s="17">
        <v>-2.31</v>
      </c>
      <c r="S240" s="17">
        <v>66.69</v>
      </c>
      <c r="T240" s="17">
        <v>54.91</v>
      </c>
      <c r="U240" s="17">
        <v>11.78</v>
      </c>
      <c r="V240" s="17">
        <v>38.5</v>
      </c>
      <c r="W240" s="17">
        <v>39.4</v>
      </c>
      <c r="X240" s="17">
        <v>435.79</v>
      </c>
      <c r="Y240" s="17">
        <v>4167</v>
      </c>
      <c r="Z240" s="17">
        <v>25.14</v>
      </c>
      <c r="AA240" s="17">
        <v>429.8</v>
      </c>
      <c r="AB240" s="17">
        <v>3933</v>
      </c>
      <c r="AC240" s="17">
        <v>24.78</v>
      </c>
      <c r="AD240" s="17">
        <v>432.45</v>
      </c>
      <c r="AE240" s="17">
        <v>3884</v>
      </c>
      <c r="AF240" s="17">
        <v>22.58</v>
      </c>
      <c r="AG240" s="17">
        <v>1237</v>
      </c>
      <c r="AH240" s="17">
        <v>744</v>
      </c>
      <c r="AI240" s="17">
        <v>32.731795089999999</v>
      </c>
      <c r="AJ240" s="17">
        <v>20.407603479999999</v>
      </c>
      <c r="AK240" s="17">
        <v>-12.324192</v>
      </c>
      <c r="AL240" s="17">
        <v>88.84</v>
      </c>
      <c r="AM240" s="17">
        <v>37792</v>
      </c>
      <c r="AN240" s="17">
        <v>36678</v>
      </c>
      <c r="AO240" s="17">
        <v>36640</v>
      </c>
      <c r="AP240" s="17">
        <v>36546</v>
      </c>
      <c r="AQ240" s="17">
        <v>36457</v>
      </c>
    </row>
    <row r="241" spans="1:43" ht="16" x14ac:dyDescent="0.2">
      <c r="A241" s="17">
        <v>1821</v>
      </c>
      <c r="B241" s="17" t="s">
        <v>253</v>
      </c>
      <c r="C241" s="17">
        <v>1.45</v>
      </c>
      <c r="D241" s="17">
        <v>0.28999999999999998</v>
      </c>
      <c r="E241" s="17">
        <v>1.1599999999999999</v>
      </c>
      <c r="F241" s="17">
        <v>22.3</v>
      </c>
      <c r="G241" s="17">
        <v>23.7</v>
      </c>
      <c r="H241" s="17">
        <v>-1.4</v>
      </c>
      <c r="I241" s="17">
        <v>5.6</v>
      </c>
      <c r="J241" s="17">
        <v>76.52</v>
      </c>
      <c r="K241" s="17">
        <v>12.88</v>
      </c>
      <c r="L241" s="17">
        <v>331.7</v>
      </c>
      <c r="M241" s="17">
        <v>18.440000000000001</v>
      </c>
      <c r="N241" s="17">
        <v>0.88</v>
      </c>
      <c r="O241" s="17">
        <v>17.559999999999999</v>
      </c>
      <c r="P241" s="17">
        <v>1.56</v>
      </c>
      <c r="Q241" s="17">
        <v>2.29</v>
      </c>
      <c r="R241" s="17">
        <v>-0.73</v>
      </c>
      <c r="S241" s="17">
        <v>65.459999999999994</v>
      </c>
      <c r="T241" s="17">
        <v>54.5</v>
      </c>
      <c r="U241" s="17">
        <v>10.96</v>
      </c>
      <c r="V241" s="17">
        <v>35.799999999999997</v>
      </c>
      <c r="W241" s="17">
        <v>35.9</v>
      </c>
      <c r="X241" s="17">
        <v>425</v>
      </c>
      <c r="Y241" s="17">
        <v>3058</v>
      </c>
      <c r="Z241" s="17">
        <v>13.68</v>
      </c>
      <c r="AA241" s="17">
        <v>410.66</v>
      </c>
      <c r="AB241" s="17">
        <v>2958</v>
      </c>
      <c r="AC241" s="17">
        <v>12.47</v>
      </c>
      <c r="AD241" s="17">
        <v>411.81</v>
      </c>
      <c r="AE241" s="17">
        <v>3016</v>
      </c>
      <c r="AF241" s="17">
        <v>13.34</v>
      </c>
      <c r="AG241" s="17">
        <v>917</v>
      </c>
      <c r="AH241" s="17">
        <v>657</v>
      </c>
      <c r="AI241" s="17">
        <v>34.348428660000003</v>
      </c>
      <c r="AJ241" s="17">
        <v>25.612038049999999</v>
      </c>
      <c r="AK241" s="17">
        <v>-8.7363906</v>
      </c>
      <c r="AL241" s="17">
        <v>79.77</v>
      </c>
      <c r="AM241" s="17">
        <v>26697</v>
      </c>
      <c r="AN241" s="17">
        <v>26048</v>
      </c>
      <c r="AO241" s="17">
        <v>26090</v>
      </c>
      <c r="AP241" s="17">
        <v>25899</v>
      </c>
      <c r="AQ241" s="17">
        <v>25652</v>
      </c>
    </row>
    <row r="242" spans="1:43" ht="16" x14ac:dyDescent="0.2">
      <c r="A242" s="17">
        <v>409</v>
      </c>
      <c r="B242" s="17" t="s">
        <v>254</v>
      </c>
      <c r="C242" s="17">
        <v>0.36</v>
      </c>
      <c r="D242" s="17">
        <v>0.11</v>
      </c>
      <c r="E242" s="17">
        <v>0.25</v>
      </c>
      <c r="F242" s="17">
        <v>34.6</v>
      </c>
      <c r="G242" s="17">
        <v>34.1</v>
      </c>
      <c r="H242" s="17">
        <v>0.5</v>
      </c>
      <c r="I242" s="17">
        <v>6.67</v>
      </c>
      <c r="J242" s="17">
        <v>63.1</v>
      </c>
      <c r="K242" s="17">
        <v>11.41</v>
      </c>
      <c r="L242" s="17">
        <v>503.7</v>
      </c>
      <c r="M242" s="17">
        <v>16.899999999999999</v>
      </c>
      <c r="N242" s="17">
        <v>0.84</v>
      </c>
      <c r="O242" s="17">
        <v>16.059999999999999</v>
      </c>
      <c r="P242" s="17">
        <v>1.32</v>
      </c>
      <c r="Q242" s="17">
        <v>2.21</v>
      </c>
      <c r="R242" s="17">
        <v>-0.89</v>
      </c>
      <c r="S242" s="17">
        <v>55.08</v>
      </c>
      <c r="T242" s="17">
        <v>45.97</v>
      </c>
      <c r="U242" s="17">
        <v>9.11</v>
      </c>
      <c r="V242" s="17">
        <v>36.799999999999997</v>
      </c>
      <c r="W242" s="17">
        <v>38.6</v>
      </c>
      <c r="X242" s="17">
        <v>466.08</v>
      </c>
      <c r="Y242" s="17">
        <v>1226</v>
      </c>
      <c r="Z242" s="17">
        <v>22.09</v>
      </c>
      <c r="AA242" s="17">
        <v>414.38</v>
      </c>
      <c r="AB242" s="17">
        <v>1220</v>
      </c>
      <c r="AC242" s="17">
        <v>17.399999999999999</v>
      </c>
      <c r="AD242" s="17">
        <v>414.97</v>
      </c>
      <c r="AE242" s="17">
        <v>1256</v>
      </c>
      <c r="AF242" s="17">
        <v>20.8</v>
      </c>
      <c r="AG242" s="17">
        <v>299</v>
      </c>
      <c r="AH242" s="17">
        <v>156</v>
      </c>
      <c r="AI242" s="17">
        <v>40.830260819999999</v>
      </c>
      <c r="AJ242" s="17">
        <v>23.13510307</v>
      </c>
      <c r="AK242" s="17">
        <v>-17.695157999999999</v>
      </c>
      <c r="AL242" s="17">
        <v>68.8</v>
      </c>
      <c r="AM242" s="17">
        <v>7323</v>
      </c>
      <c r="AN242" s="17">
        <v>6959</v>
      </c>
      <c r="AO242" s="17">
        <v>6833</v>
      </c>
      <c r="AP242" s="17">
        <v>6782</v>
      </c>
      <c r="AQ242" s="17">
        <v>6743</v>
      </c>
    </row>
    <row r="243" spans="1:43" ht="16" x14ac:dyDescent="0.2">
      <c r="A243" s="17">
        <v>1419</v>
      </c>
      <c r="B243" s="17" t="s">
        <v>255</v>
      </c>
      <c r="C243" s="17">
        <v>1.47</v>
      </c>
      <c r="D243" s="17">
        <v>0.26</v>
      </c>
      <c r="E243" s="17">
        <v>1.21</v>
      </c>
      <c r="F243" s="17">
        <v>29.6</v>
      </c>
      <c r="G243" s="17">
        <v>24.7</v>
      </c>
      <c r="H243" s="17">
        <v>4.9000000000000004</v>
      </c>
      <c r="I243" s="17">
        <v>5.59</v>
      </c>
      <c r="J243" s="17">
        <v>95.81</v>
      </c>
      <c r="K243" s="17">
        <v>18.77</v>
      </c>
      <c r="L243" s="17">
        <v>243.9</v>
      </c>
      <c r="M243" s="17">
        <v>20.21</v>
      </c>
      <c r="N243" s="17">
        <v>1.56</v>
      </c>
      <c r="O243" s="17">
        <v>18.649999999999999</v>
      </c>
      <c r="P243" s="17">
        <v>4.38</v>
      </c>
      <c r="Q243" s="17">
        <v>8.2899999999999991</v>
      </c>
      <c r="R243" s="17">
        <v>-3.91</v>
      </c>
      <c r="S243" s="17">
        <v>68.39</v>
      </c>
      <c r="T243" s="17">
        <v>56.75</v>
      </c>
      <c r="U243" s="17">
        <v>11.64</v>
      </c>
      <c r="V243" s="17">
        <v>37</v>
      </c>
      <c r="W243" s="17">
        <v>37.700000000000003</v>
      </c>
      <c r="X243" s="17">
        <v>410.38</v>
      </c>
      <c r="Y243" s="17">
        <v>3612</v>
      </c>
      <c r="Z243" s="17">
        <v>16.41</v>
      </c>
      <c r="AA243" s="17">
        <v>404.24</v>
      </c>
      <c r="AB243" s="17">
        <v>3456</v>
      </c>
      <c r="AC243" s="17">
        <v>13.43</v>
      </c>
      <c r="AD243" s="17">
        <v>409.02</v>
      </c>
      <c r="AE243" s="17">
        <v>3428</v>
      </c>
      <c r="AF243" s="17">
        <v>12.82</v>
      </c>
      <c r="AG243" s="17">
        <v>1417</v>
      </c>
      <c r="AH243" s="17">
        <v>828</v>
      </c>
      <c r="AI243" s="17">
        <v>40.41758179</v>
      </c>
      <c r="AJ243" s="17">
        <v>24.06976744</v>
      </c>
      <c r="AK243" s="17">
        <v>-16.347814</v>
      </c>
      <c r="AL243" s="17">
        <v>94.95</v>
      </c>
      <c r="AM243" s="17">
        <v>35059</v>
      </c>
      <c r="AN243" s="17">
        <v>34277</v>
      </c>
      <c r="AO243" s="17">
        <v>34359</v>
      </c>
      <c r="AP243" s="17">
        <v>34338</v>
      </c>
      <c r="AQ243" s="17">
        <v>34400</v>
      </c>
    </row>
    <row r="244" spans="1:43" ht="16" x14ac:dyDescent="0.2">
      <c r="A244" s="17">
        <v>1113</v>
      </c>
      <c r="B244" s="17" t="s">
        <v>256</v>
      </c>
      <c r="C244" s="17">
        <v>2.76</v>
      </c>
      <c r="D244" s="17">
        <v>1.01</v>
      </c>
      <c r="E244" s="17">
        <v>1.75</v>
      </c>
      <c r="F244" s="17">
        <v>25.7</v>
      </c>
      <c r="G244" s="17">
        <v>24</v>
      </c>
      <c r="H244" s="17">
        <v>1.7</v>
      </c>
      <c r="I244" s="17">
        <v>6.14</v>
      </c>
      <c r="J244" s="17">
        <v>96.37</v>
      </c>
      <c r="K244" s="17">
        <v>17.84</v>
      </c>
      <c r="L244" s="17">
        <v>174.1</v>
      </c>
      <c r="M244" s="17">
        <v>20.27</v>
      </c>
      <c r="N244" s="17">
        <v>1.86</v>
      </c>
      <c r="O244" s="17">
        <v>18.41</v>
      </c>
      <c r="P244" s="17">
        <v>3.32</v>
      </c>
      <c r="Q244" s="17">
        <v>5.98</v>
      </c>
      <c r="R244" s="17">
        <v>-2.66</v>
      </c>
      <c r="S244" s="17">
        <v>70.56</v>
      </c>
      <c r="T244" s="17">
        <v>56.73</v>
      </c>
      <c r="U244" s="17">
        <v>13.83</v>
      </c>
      <c r="V244" s="17">
        <v>40.200000000000003</v>
      </c>
      <c r="W244" s="17">
        <v>40.200000000000003</v>
      </c>
      <c r="X244" s="17">
        <v>308.77999999999997</v>
      </c>
      <c r="Y244" s="17">
        <v>11993</v>
      </c>
      <c r="Z244" s="17">
        <v>14.72</v>
      </c>
      <c r="AA244" s="17">
        <v>333.69</v>
      </c>
      <c r="AB244" s="17">
        <v>11376</v>
      </c>
      <c r="AC244" s="17">
        <v>15.73</v>
      </c>
      <c r="AD244" s="17">
        <v>331.26</v>
      </c>
      <c r="AE244" s="17">
        <v>11060</v>
      </c>
      <c r="AF244" s="17">
        <v>15.37</v>
      </c>
      <c r="AG244" s="17">
        <v>3087</v>
      </c>
      <c r="AH244" s="17">
        <v>2121</v>
      </c>
      <c r="AI244" s="17">
        <v>38.369274750000002</v>
      </c>
      <c r="AJ244" s="17">
        <v>24.63357413</v>
      </c>
      <c r="AK244" s="17">
        <v>-13.735701000000001</v>
      </c>
      <c r="AL244" s="17">
        <v>93.76</v>
      </c>
      <c r="AM244" s="17">
        <v>80455</v>
      </c>
      <c r="AN244" s="17">
        <v>81873</v>
      </c>
      <c r="AO244" s="17">
        <v>83535</v>
      </c>
      <c r="AP244" s="17">
        <v>84937</v>
      </c>
      <c r="AQ244" s="17">
        <v>86102</v>
      </c>
    </row>
    <row r="245" spans="1:43" ht="16" x14ac:dyDescent="0.2">
      <c r="A245" s="17">
        <v>913</v>
      </c>
      <c r="B245" s="17" t="s">
        <v>257</v>
      </c>
      <c r="C245" s="17">
        <v>0.64</v>
      </c>
      <c r="D245" s="17">
        <v>0.08</v>
      </c>
      <c r="E245" s="17">
        <v>0.56000000000000005</v>
      </c>
      <c r="F245" s="17">
        <v>20.6</v>
      </c>
      <c r="G245" s="17">
        <v>23.4</v>
      </c>
      <c r="H245" s="17">
        <v>-2.8</v>
      </c>
      <c r="I245" s="17">
        <v>5.39</v>
      </c>
      <c r="J245" s="17">
        <v>68.040000000000006</v>
      </c>
      <c r="K245" s="17">
        <v>12.69</v>
      </c>
      <c r="L245" s="17">
        <v>429.1</v>
      </c>
      <c r="M245" s="17">
        <v>17.940000000000001</v>
      </c>
      <c r="N245" s="17">
        <v>1.3</v>
      </c>
      <c r="O245" s="17">
        <v>16.64</v>
      </c>
      <c r="P245" s="17">
        <v>1.04</v>
      </c>
      <c r="Q245" s="17">
        <v>1.99</v>
      </c>
      <c r="R245" s="17">
        <v>-0.95</v>
      </c>
      <c r="S245" s="17">
        <v>60.02</v>
      </c>
      <c r="T245" s="17">
        <v>52.28</v>
      </c>
      <c r="U245" s="17">
        <v>7.74</v>
      </c>
      <c r="V245" s="17">
        <v>37.200000000000003</v>
      </c>
      <c r="W245" s="17">
        <v>38.1</v>
      </c>
      <c r="X245" s="17">
        <v>418.09</v>
      </c>
      <c r="Y245" s="17">
        <v>1322</v>
      </c>
      <c r="Z245" s="17">
        <v>14.59</v>
      </c>
      <c r="AA245" s="17">
        <v>387.06</v>
      </c>
      <c r="AB245" s="17">
        <v>1366</v>
      </c>
      <c r="AC245" s="17">
        <v>14</v>
      </c>
      <c r="AD245" s="17">
        <v>390.6</v>
      </c>
      <c r="AE245" s="17">
        <v>1395</v>
      </c>
      <c r="AF245" s="17">
        <v>14.98</v>
      </c>
      <c r="AG245" s="17">
        <v>275</v>
      </c>
      <c r="AH245" s="17">
        <v>113</v>
      </c>
      <c r="AI245" s="17">
        <v>30.923198020000001</v>
      </c>
      <c r="AJ245" s="17">
        <v>13.63252503</v>
      </c>
      <c r="AK245" s="17">
        <v>-17.290673000000002</v>
      </c>
      <c r="AL245" s="17">
        <v>71.349999999999994</v>
      </c>
      <c r="AM245" s="17">
        <v>8893</v>
      </c>
      <c r="AN245" s="17">
        <v>8506</v>
      </c>
      <c r="AO245" s="17">
        <v>8469</v>
      </c>
      <c r="AP245" s="17">
        <v>8397</v>
      </c>
      <c r="AQ245" s="17">
        <v>8289</v>
      </c>
    </row>
    <row r="246" spans="1:43" ht="16" x14ac:dyDescent="0.2">
      <c r="A246" s="17">
        <v>1318</v>
      </c>
      <c r="B246" s="17" t="s">
        <v>258</v>
      </c>
      <c r="C246" s="17">
        <v>1.56</v>
      </c>
      <c r="D246" s="17">
        <v>0.39</v>
      </c>
      <c r="E246" s="17">
        <v>1.17</v>
      </c>
      <c r="F246" s="17">
        <v>17.8</v>
      </c>
      <c r="G246" s="17">
        <v>21.8</v>
      </c>
      <c r="H246" s="17">
        <v>-4</v>
      </c>
      <c r="I246" s="17">
        <v>7.79</v>
      </c>
      <c r="J246" s="17">
        <v>94.57</v>
      </c>
      <c r="K246" s="17">
        <v>15.29</v>
      </c>
      <c r="L246" s="17">
        <v>176.1</v>
      </c>
      <c r="M246" s="17">
        <v>18.48</v>
      </c>
      <c r="N246" s="17">
        <v>0.48</v>
      </c>
      <c r="O246" s="17">
        <v>18</v>
      </c>
      <c r="P246" s="17">
        <v>1.48</v>
      </c>
      <c r="Q246" s="17">
        <v>3.31</v>
      </c>
      <c r="R246" s="17">
        <v>-1.83</v>
      </c>
      <c r="S246" s="17">
        <v>72.72</v>
      </c>
      <c r="T246" s="17">
        <v>61.37</v>
      </c>
      <c r="U246" s="17">
        <v>11.35</v>
      </c>
      <c r="V246" s="17">
        <v>36.700000000000003</v>
      </c>
      <c r="W246" s="17">
        <v>36.700000000000003</v>
      </c>
      <c r="X246" s="17">
        <v>318.66000000000003</v>
      </c>
      <c r="Y246" s="17">
        <v>4731</v>
      </c>
      <c r="Z246" s="17">
        <v>19.95</v>
      </c>
      <c r="AA246" s="17">
        <v>320.42</v>
      </c>
      <c r="AB246" s="17">
        <v>4450</v>
      </c>
      <c r="AC246" s="17">
        <v>17.84</v>
      </c>
      <c r="AD246" s="17">
        <v>302.55</v>
      </c>
      <c r="AE246" s="17">
        <v>4323</v>
      </c>
      <c r="AF246" s="17">
        <v>21.23</v>
      </c>
      <c r="AG246" s="17">
        <v>2276</v>
      </c>
      <c r="AH246" s="17">
        <v>1541</v>
      </c>
      <c r="AI246" s="17">
        <v>59.263116779999997</v>
      </c>
      <c r="AJ246" s="17">
        <v>38.933804950000003</v>
      </c>
      <c r="AK246" s="17">
        <v>-20.329312000000002</v>
      </c>
      <c r="AL246" s="17">
        <v>93.07</v>
      </c>
      <c r="AM246" s="17">
        <v>38405</v>
      </c>
      <c r="AN246" s="17">
        <v>38556</v>
      </c>
      <c r="AO246" s="17">
        <v>38659</v>
      </c>
      <c r="AP246" s="17">
        <v>39002</v>
      </c>
      <c r="AQ246" s="17">
        <v>39580</v>
      </c>
    </row>
    <row r="247" spans="1:43" ht="16" x14ac:dyDescent="0.2">
      <c r="A247" s="17">
        <v>118</v>
      </c>
      <c r="B247" s="17" t="s">
        <v>259</v>
      </c>
      <c r="C247" s="17">
        <v>2.2799999999999998</v>
      </c>
      <c r="D247" s="17">
        <v>0.49</v>
      </c>
      <c r="E247" s="17">
        <v>1.79</v>
      </c>
      <c r="F247" s="17">
        <v>22</v>
      </c>
      <c r="G247" s="17">
        <v>24.2</v>
      </c>
      <c r="H247" s="17">
        <v>-2.2000000000000002</v>
      </c>
      <c r="I247" s="17">
        <v>5.01</v>
      </c>
      <c r="J247" s="17">
        <v>73.959999999999994</v>
      </c>
      <c r="K247" s="17">
        <v>15.29</v>
      </c>
      <c r="L247" s="17">
        <v>185.4</v>
      </c>
      <c r="M247" s="17">
        <v>22.06</v>
      </c>
      <c r="N247" s="17">
        <v>0.81</v>
      </c>
      <c r="O247" s="17">
        <v>21.25</v>
      </c>
      <c r="P247" s="17">
        <v>0.7</v>
      </c>
      <c r="Q247" s="17">
        <v>1.28</v>
      </c>
      <c r="R247" s="17">
        <v>-0.57999999999999996</v>
      </c>
      <c r="S247" s="17">
        <v>60.61</v>
      </c>
      <c r="T247" s="17">
        <v>49.7</v>
      </c>
      <c r="U247" s="17">
        <v>10.91</v>
      </c>
      <c r="V247" s="17">
        <v>37.700000000000003</v>
      </c>
      <c r="W247" s="17">
        <v>38.299999999999997</v>
      </c>
      <c r="X247" s="17">
        <v>305.98</v>
      </c>
      <c r="Y247" s="17">
        <v>3114</v>
      </c>
      <c r="Z247" s="17">
        <v>16.62</v>
      </c>
      <c r="AA247" s="17">
        <v>309.82</v>
      </c>
      <c r="AB247" s="17">
        <v>2964</v>
      </c>
      <c r="AC247" s="17">
        <v>14.94</v>
      </c>
      <c r="AD247" s="17">
        <v>307.45</v>
      </c>
      <c r="AE247" s="17">
        <v>2845</v>
      </c>
      <c r="AF247" s="17">
        <v>14.28</v>
      </c>
      <c r="AG247" s="17">
        <v>679</v>
      </c>
      <c r="AH247" s="17">
        <v>533</v>
      </c>
      <c r="AI247" s="17">
        <v>30.132244610000001</v>
      </c>
      <c r="AJ247" s="17">
        <v>22.462913010000001</v>
      </c>
      <c r="AK247" s="17">
        <v>-7.6693315999999996</v>
      </c>
      <c r="AL247" s="17">
        <v>79.48</v>
      </c>
      <c r="AM247" s="17">
        <v>22534</v>
      </c>
      <c r="AN247" s="17">
        <v>22795</v>
      </c>
      <c r="AO247" s="17">
        <v>23034</v>
      </c>
      <c r="AP247" s="17">
        <v>23401</v>
      </c>
      <c r="AQ247" s="17">
        <v>23728</v>
      </c>
    </row>
    <row r="248" spans="1:43" ht="16" x14ac:dyDescent="0.2">
      <c r="A248" s="17">
        <v>119</v>
      </c>
      <c r="B248" s="17" t="s">
        <v>260</v>
      </c>
      <c r="C248" s="17">
        <v>1.5</v>
      </c>
      <c r="D248" s="17">
        <v>0.4</v>
      </c>
      <c r="E248" s="17">
        <v>1.1000000000000001</v>
      </c>
      <c r="F248" s="17">
        <v>28.8</v>
      </c>
      <c r="G248" s="17">
        <v>22</v>
      </c>
      <c r="H248" s="17">
        <v>6.8</v>
      </c>
      <c r="I248" s="17">
        <v>4.21</v>
      </c>
      <c r="J248" s="17">
        <v>87.44</v>
      </c>
      <c r="K248" s="17">
        <v>15.49</v>
      </c>
      <c r="L248" s="17">
        <v>287</v>
      </c>
      <c r="M248" s="17">
        <v>17.309999999999999</v>
      </c>
      <c r="N248" s="17">
        <v>0.65</v>
      </c>
      <c r="O248" s="17">
        <v>16.66</v>
      </c>
      <c r="P248" s="17">
        <v>0.77</v>
      </c>
      <c r="Q248" s="17">
        <v>2.0099999999999998</v>
      </c>
      <c r="R248" s="17">
        <v>-1.24</v>
      </c>
      <c r="S248" s="17">
        <v>67.97</v>
      </c>
      <c r="T248" s="17">
        <v>60.21</v>
      </c>
      <c r="U248" s="17">
        <v>7.76</v>
      </c>
      <c r="V248" s="17">
        <v>36.9</v>
      </c>
      <c r="W248" s="17">
        <v>37.200000000000003</v>
      </c>
      <c r="X248" s="17">
        <v>416.34</v>
      </c>
      <c r="Y248" s="17">
        <v>2635</v>
      </c>
      <c r="Z248" s="17">
        <v>9.9600000000000009</v>
      </c>
      <c r="AA248" s="17">
        <v>410.19</v>
      </c>
      <c r="AB248" s="17">
        <v>2549</v>
      </c>
      <c r="AC248" s="17">
        <v>8.35</v>
      </c>
      <c r="AD248" s="17">
        <v>399.74</v>
      </c>
      <c r="AE248" s="17">
        <v>2516</v>
      </c>
      <c r="AF248" s="17">
        <v>10.95</v>
      </c>
      <c r="AG248" s="17">
        <v>681</v>
      </c>
      <c r="AH248" s="17">
        <v>580</v>
      </c>
      <c r="AI248" s="17">
        <v>31.505898680000001</v>
      </c>
      <c r="AJ248" s="17">
        <v>27.301826399999999</v>
      </c>
      <c r="AK248" s="17">
        <v>-4.2040723</v>
      </c>
      <c r="AL248" s="17">
        <v>87.83</v>
      </c>
      <c r="AM248" s="17">
        <v>21615</v>
      </c>
      <c r="AN248" s="17">
        <v>21325</v>
      </c>
      <c r="AO248" s="17">
        <v>21345</v>
      </c>
      <c r="AP248" s="17">
        <v>21289</v>
      </c>
      <c r="AQ248" s="17">
        <v>21244</v>
      </c>
    </row>
    <row r="249" spans="1:43" ht="16" x14ac:dyDescent="0.2">
      <c r="A249" s="17">
        <v>1608</v>
      </c>
      <c r="B249" s="17" t="s">
        <v>261</v>
      </c>
      <c r="C249" s="17">
        <v>4.9800000000000004</v>
      </c>
      <c r="D249" s="17">
        <v>0.98</v>
      </c>
      <c r="E249" s="17">
        <v>4</v>
      </c>
      <c r="F249" s="17">
        <v>36.700000000000003</v>
      </c>
      <c r="G249" s="17">
        <v>43.1</v>
      </c>
      <c r="H249" s="17">
        <v>-6.4</v>
      </c>
      <c r="I249" s="17">
        <v>7.48</v>
      </c>
      <c r="J249" s="17">
        <v>83.2</v>
      </c>
      <c r="K249" s="17">
        <v>11.76</v>
      </c>
      <c r="L249" s="17">
        <v>222.7</v>
      </c>
      <c r="M249" s="17">
        <v>29.56</v>
      </c>
      <c r="N249" s="17">
        <v>0.65</v>
      </c>
      <c r="O249" s="17">
        <v>28.91</v>
      </c>
      <c r="P249" s="17">
        <v>1.1499999999999999</v>
      </c>
      <c r="Q249" s="17">
        <v>2.4</v>
      </c>
      <c r="R249" s="17">
        <v>-1.25</v>
      </c>
      <c r="S249" s="17">
        <v>58.8</v>
      </c>
      <c r="T249" s="17">
        <v>45.64</v>
      </c>
      <c r="U249" s="17">
        <v>13.16</v>
      </c>
      <c r="V249" s="17">
        <v>36.200000000000003</v>
      </c>
      <c r="W249" s="17">
        <v>36.5</v>
      </c>
      <c r="X249" s="17">
        <v>341.94</v>
      </c>
      <c r="Y249" s="17">
        <v>2062</v>
      </c>
      <c r="Z249" s="17">
        <v>22.63</v>
      </c>
      <c r="AA249" s="17">
        <v>354.98</v>
      </c>
      <c r="AB249" s="17">
        <v>1865</v>
      </c>
      <c r="AC249" s="17">
        <v>25.82</v>
      </c>
      <c r="AD249" s="17">
        <v>345.14</v>
      </c>
      <c r="AE249" s="17">
        <v>1830</v>
      </c>
      <c r="AF249" s="17">
        <v>23.25</v>
      </c>
      <c r="AG249" s="17">
        <v>563</v>
      </c>
      <c r="AH249" s="17">
        <v>459</v>
      </c>
      <c r="AI249" s="17">
        <v>41.394015150000001</v>
      </c>
      <c r="AJ249" s="17">
        <v>32.945736429999997</v>
      </c>
      <c r="AK249" s="17">
        <v>-8.4482786999999995</v>
      </c>
      <c r="AL249" s="17">
        <v>84.82</v>
      </c>
      <c r="AM249" s="17">
        <v>13601</v>
      </c>
      <c r="AN249" s="17">
        <v>13592</v>
      </c>
      <c r="AO249" s="17">
        <v>13696</v>
      </c>
      <c r="AP249" s="17">
        <v>13802</v>
      </c>
      <c r="AQ249" s="17">
        <v>13932</v>
      </c>
    </row>
    <row r="250" spans="1:43" ht="16" x14ac:dyDescent="0.2">
      <c r="A250" s="17">
        <v>1315</v>
      </c>
      <c r="B250" s="17" t="s">
        <v>262</v>
      </c>
      <c r="C250" s="17">
        <v>0.91</v>
      </c>
      <c r="D250" s="17">
        <v>0.37</v>
      </c>
      <c r="E250" s="17">
        <v>0.54</v>
      </c>
      <c r="F250" s="17">
        <v>21.3</v>
      </c>
      <c r="G250" s="17">
        <v>23.4</v>
      </c>
      <c r="H250" s="17">
        <v>-2.1</v>
      </c>
      <c r="I250" s="17">
        <v>10.02</v>
      </c>
      <c r="J250" s="17">
        <v>92.03</v>
      </c>
      <c r="K250" s="17">
        <v>18.899999999999999</v>
      </c>
      <c r="L250" s="17">
        <v>162.19999999999999</v>
      </c>
      <c r="M250" s="17">
        <v>17.3</v>
      </c>
      <c r="N250" s="17">
        <v>0.76</v>
      </c>
      <c r="O250" s="17">
        <v>16.54</v>
      </c>
      <c r="P250" s="17">
        <v>2.74</v>
      </c>
      <c r="Q250" s="17">
        <v>5.85</v>
      </c>
      <c r="R250" s="17">
        <v>-3.11</v>
      </c>
      <c r="S250" s="17">
        <v>69.38</v>
      </c>
      <c r="T250" s="17">
        <v>57.28</v>
      </c>
      <c r="U250" s="17">
        <v>12.1</v>
      </c>
      <c r="V250" s="17">
        <v>37.799999999999997</v>
      </c>
      <c r="W250" s="17">
        <v>38.5</v>
      </c>
      <c r="X250" s="17">
        <v>300.33999999999997</v>
      </c>
      <c r="Y250" s="17">
        <v>10213</v>
      </c>
      <c r="Z250" s="17">
        <v>39.950000000000003</v>
      </c>
      <c r="AA250" s="17">
        <v>298.75</v>
      </c>
      <c r="AB250" s="17">
        <v>9593</v>
      </c>
      <c r="AC250" s="17">
        <v>41.61</v>
      </c>
      <c r="AD250" s="17">
        <v>292.94</v>
      </c>
      <c r="AE250" s="17">
        <v>9446</v>
      </c>
      <c r="AF250" s="17">
        <v>47.7</v>
      </c>
      <c r="AG250" s="17">
        <v>5099</v>
      </c>
      <c r="AH250" s="17">
        <v>3572</v>
      </c>
      <c r="AI250" s="17">
        <v>54.50502934</v>
      </c>
      <c r="AJ250" s="17">
        <v>36.297124279999998</v>
      </c>
      <c r="AK250" s="17">
        <v>-18.207905</v>
      </c>
      <c r="AL250" s="17">
        <v>92.74</v>
      </c>
      <c r="AM250" s="17">
        <v>93551</v>
      </c>
      <c r="AN250" s="17">
        <v>94419</v>
      </c>
      <c r="AO250" s="17">
        <v>95018</v>
      </c>
      <c r="AP250" s="17">
        <v>96649</v>
      </c>
      <c r="AQ250" s="17">
        <v>98410</v>
      </c>
    </row>
    <row r="251" spans="1:43" ht="16" x14ac:dyDescent="0.2">
      <c r="A251" s="17">
        <v>1712</v>
      </c>
      <c r="B251" s="17" t="s">
        <v>263</v>
      </c>
      <c r="C251" s="17">
        <v>0.3</v>
      </c>
      <c r="D251" s="17">
        <v>0.13</v>
      </c>
      <c r="E251" s="17">
        <v>0.17</v>
      </c>
      <c r="F251" s="17">
        <v>30.9</v>
      </c>
      <c r="G251" s="17">
        <v>28.9</v>
      </c>
      <c r="H251" s="17">
        <v>2</v>
      </c>
      <c r="I251" s="17">
        <v>6.79</v>
      </c>
      <c r="J251" s="17">
        <v>61.21</v>
      </c>
      <c r="K251" s="17">
        <v>8.51</v>
      </c>
      <c r="L251" s="17">
        <v>513.79999999999995</v>
      </c>
      <c r="M251" s="17">
        <v>16.489999999999998</v>
      </c>
      <c r="N251" s="17">
        <v>0.69</v>
      </c>
      <c r="O251" s="17">
        <v>15.8</v>
      </c>
      <c r="P251" s="17">
        <v>0.75</v>
      </c>
      <c r="Q251" s="17">
        <v>1.17</v>
      </c>
      <c r="R251" s="17">
        <v>-0.42</v>
      </c>
      <c r="S251" s="17">
        <v>50.34</v>
      </c>
      <c r="T251" s="17">
        <v>41.68</v>
      </c>
      <c r="U251" s="17">
        <v>8.66</v>
      </c>
      <c r="V251" s="17">
        <v>37.4</v>
      </c>
      <c r="W251" s="17">
        <v>39</v>
      </c>
      <c r="X251" s="17">
        <v>454.79</v>
      </c>
      <c r="Y251" s="17">
        <v>3619</v>
      </c>
      <c r="Z251" s="17">
        <v>43.47</v>
      </c>
      <c r="AA251" s="17">
        <v>464.39</v>
      </c>
      <c r="AB251" s="17">
        <v>3741</v>
      </c>
      <c r="AC251" s="17">
        <v>39.159999999999997</v>
      </c>
      <c r="AD251" s="17">
        <v>459.47</v>
      </c>
      <c r="AE251" s="17">
        <v>3809</v>
      </c>
      <c r="AF251" s="17">
        <v>46.76</v>
      </c>
      <c r="AG251" s="17">
        <v>321</v>
      </c>
      <c r="AH251" s="17">
        <v>205</v>
      </c>
      <c r="AI251" s="17">
        <v>20.775354350000001</v>
      </c>
      <c r="AJ251" s="17">
        <v>14.082571959999999</v>
      </c>
      <c r="AK251" s="17">
        <v>-6.6927823999999996</v>
      </c>
      <c r="AL251" s="17">
        <v>63.94</v>
      </c>
      <c r="AM251" s="17">
        <v>15451</v>
      </c>
      <c r="AN251" s="17">
        <v>14862</v>
      </c>
      <c r="AO251" s="17">
        <v>14770</v>
      </c>
      <c r="AP251" s="17">
        <v>14585</v>
      </c>
      <c r="AQ251" s="17">
        <v>14557</v>
      </c>
    </row>
    <row r="252" spans="1:43" ht="16" x14ac:dyDescent="0.2">
      <c r="A252" s="17">
        <v>712</v>
      </c>
      <c r="B252" s="17" t="s">
        <v>264</v>
      </c>
      <c r="C252" s="17">
        <v>2</v>
      </c>
      <c r="D252" s="17">
        <v>0.4</v>
      </c>
      <c r="E252" s="17">
        <v>1.6</v>
      </c>
      <c r="F252" s="17">
        <v>28.8</v>
      </c>
      <c r="G252" s="17">
        <v>32.1</v>
      </c>
      <c r="H252" s="17">
        <v>-3.3</v>
      </c>
      <c r="I252" s="17">
        <v>5.25</v>
      </c>
      <c r="J252" s="17">
        <v>95.49</v>
      </c>
      <c r="K252" s="17">
        <v>13.91</v>
      </c>
      <c r="L252" s="17">
        <v>233</v>
      </c>
      <c r="M252" s="17">
        <v>20.78</v>
      </c>
      <c r="N252" s="17">
        <v>2.13</v>
      </c>
      <c r="O252" s="17">
        <v>18.649999999999999</v>
      </c>
      <c r="P252" s="17">
        <v>11.5</v>
      </c>
      <c r="Q252" s="17">
        <v>19.649999999999999</v>
      </c>
      <c r="R252" s="17">
        <v>-8.15</v>
      </c>
      <c r="S252" s="17">
        <v>66.239999999999995</v>
      </c>
      <c r="T252" s="17">
        <v>53.22</v>
      </c>
      <c r="U252" s="17">
        <v>13.02</v>
      </c>
      <c r="V252" s="17">
        <v>37.1</v>
      </c>
      <c r="W252" s="17">
        <v>37.1</v>
      </c>
      <c r="X252" s="17">
        <v>425</v>
      </c>
      <c r="Y252" s="17">
        <v>1319</v>
      </c>
      <c r="Z252" s="17">
        <v>19</v>
      </c>
      <c r="AA252" s="17">
        <v>433.29</v>
      </c>
      <c r="AB252" s="17">
        <v>1273</v>
      </c>
      <c r="AC252" s="17">
        <v>19.88</v>
      </c>
      <c r="AD252" s="17">
        <v>424.13</v>
      </c>
      <c r="AE252" s="17">
        <v>1321</v>
      </c>
      <c r="AF252" s="17">
        <v>18.03</v>
      </c>
      <c r="AG252" s="17">
        <v>534</v>
      </c>
      <c r="AH252" s="17">
        <v>295</v>
      </c>
      <c r="AI252" s="17">
        <v>46.788749670000001</v>
      </c>
      <c r="AJ252" s="17">
        <v>25.761942189999999</v>
      </c>
      <c r="AK252" s="17">
        <v>-21.026807000000002</v>
      </c>
      <c r="AL252" s="17">
        <v>93.11</v>
      </c>
      <c r="AM252" s="17">
        <v>11413</v>
      </c>
      <c r="AN252" s="17">
        <v>11211</v>
      </c>
      <c r="AO252" s="17">
        <v>11285</v>
      </c>
      <c r="AP252" s="17">
        <v>11363</v>
      </c>
      <c r="AQ252" s="17">
        <v>11451</v>
      </c>
    </row>
    <row r="253" spans="1:43" ht="16" x14ac:dyDescent="0.2">
      <c r="A253" s="17">
        <v>713</v>
      </c>
      <c r="B253" s="17" t="s">
        <v>265</v>
      </c>
      <c r="C253" s="17">
        <v>0.83</v>
      </c>
      <c r="D253" s="17">
        <v>0.19</v>
      </c>
      <c r="E253" s="17">
        <v>0.64</v>
      </c>
      <c r="F253" s="17">
        <v>35.799999999999997</v>
      </c>
      <c r="G253" s="17">
        <v>25.7</v>
      </c>
      <c r="H253" s="17">
        <v>10.1</v>
      </c>
      <c r="I253" s="17">
        <v>5.5</v>
      </c>
      <c r="J253" s="17">
        <v>79.77</v>
      </c>
      <c r="K253" s="17">
        <v>12.56</v>
      </c>
      <c r="L253" s="17">
        <v>190.1</v>
      </c>
      <c r="M253" s="17">
        <v>24.65</v>
      </c>
      <c r="N253" s="17">
        <v>3.2</v>
      </c>
      <c r="O253" s="17">
        <v>21.45</v>
      </c>
      <c r="P253" s="17">
        <v>15.63</v>
      </c>
      <c r="Q253" s="17">
        <v>26.03</v>
      </c>
      <c r="R253" s="17">
        <v>-10.4</v>
      </c>
      <c r="S253" s="17">
        <v>67</v>
      </c>
      <c r="T253" s="17">
        <v>52.51</v>
      </c>
      <c r="U253" s="17">
        <v>14.49</v>
      </c>
      <c r="V253" s="17">
        <v>34.4</v>
      </c>
      <c r="W253" s="17">
        <v>34.9</v>
      </c>
      <c r="X253" s="17">
        <v>393.31</v>
      </c>
      <c r="Y253" s="17">
        <v>801</v>
      </c>
      <c r="Z253" s="17">
        <v>28.96</v>
      </c>
      <c r="AA253" s="17">
        <v>443.77</v>
      </c>
      <c r="AB253" s="17">
        <v>785</v>
      </c>
      <c r="AC253" s="17">
        <v>28.56</v>
      </c>
      <c r="AD253" s="17">
        <v>450.39</v>
      </c>
      <c r="AE253" s="17">
        <v>750</v>
      </c>
      <c r="AF253" s="17">
        <v>30.03</v>
      </c>
      <c r="AG253" s="17">
        <v>229</v>
      </c>
      <c r="AH253" s="17">
        <v>122</v>
      </c>
      <c r="AI253" s="17">
        <v>41.553257119999998</v>
      </c>
      <c r="AJ253" s="17">
        <v>22.185851970000002</v>
      </c>
      <c r="AK253" s="17">
        <v>-19.367405000000002</v>
      </c>
      <c r="AL253" s="17">
        <v>78.83</v>
      </c>
      <c r="AM253" s="17">
        <v>5511</v>
      </c>
      <c r="AN253" s="17">
        <v>5375</v>
      </c>
      <c r="AO253" s="17">
        <v>5408</v>
      </c>
      <c r="AP253" s="17">
        <v>5443</v>
      </c>
      <c r="AQ253" s="17">
        <v>5499</v>
      </c>
    </row>
    <row r="254" spans="1:43" ht="16" x14ac:dyDescent="0.2">
      <c r="A254" s="17">
        <v>1609</v>
      </c>
      <c r="B254" s="17" t="s">
        <v>266</v>
      </c>
      <c r="C254" s="17">
        <v>2.3199999999999998</v>
      </c>
      <c r="D254" s="17">
        <v>0.66</v>
      </c>
      <c r="E254" s="17">
        <v>1.66</v>
      </c>
      <c r="F254" s="17">
        <v>29</v>
      </c>
      <c r="G254" s="17">
        <v>31.9</v>
      </c>
      <c r="H254" s="17">
        <v>-2.9</v>
      </c>
      <c r="I254" s="17">
        <v>6.14</v>
      </c>
      <c r="J254" s="17">
        <v>93.77</v>
      </c>
      <c r="K254" s="17">
        <v>20.52</v>
      </c>
      <c r="L254" s="17">
        <v>232.7</v>
      </c>
      <c r="M254" s="17">
        <v>17.62</v>
      </c>
      <c r="N254" s="17">
        <v>0.81</v>
      </c>
      <c r="O254" s="17">
        <v>16.809999999999999</v>
      </c>
      <c r="P254" s="17">
        <v>3.37</v>
      </c>
      <c r="Q254" s="17">
        <v>6.21</v>
      </c>
      <c r="R254" s="17">
        <v>-2.84</v>
      </c>
      <c r="S254" s="17">
        <v>65.709999999999994</v>
      </c>
      <c r="T254" s="17">
        <v>54.71</v>
      </c>
      <c r="U254" s="17">
        <v>11</v>
      </c>
      <c r="V254" s="17">
        <v>38.9</v>
      </c>
      <c r="W254" s="17">
        <v>39.700000000000003</v>
      </c>
      <c r="X254" s="17">
        <v>347.05</v>
      </c>
      <c r="Y254" s="17">
        <v>11109</v>
      </c>
      <c r="Z254" s="17">
        <v>17.95</v>
      </c>
      <c r="AA254" s="17">
        <v>352.97</v>
      </c>
      <c r="AB254" s="17">
        <v>10560</v>
      </c>
      <c r="AC254" s="17">
        <v>17.16</v>
      </c>
      <c r="AD254" s="17">
        <v>345.78</v>
      </c>
      <c r="AE254" s="17">
        <v>10269</v>
      </c>
      <c r="AF254" s="17">
        <v>17.579999999999998</v>
      </c>
      <c r="AG254" s="17">
        <v>3606</v>
      </c>
      <c r="AH254" s="17">
        <v>2623</v>
      </c>
      <c r="AI254" s="17">
        <v>41.899051870000001</v>
      </c>
      <c r="AJ254" s="17">
        <v>30.409831310000001</v>
      </c>
      <c r="AK254" s="17">
        <v>-11.489221000000001</v>
      </c>
      <c r="AL254" s="17">
        <v>92.08</v>
      </c>
      <c r="AM254" s="17">
        <v>86064</v>
      </c>
      <c r="AN254" s="17">
        <v>85813</v>
      </c>
      <c r="AO254" s="17">
        <v>86176</v>
      </c>
      <c r="AP254" s="17">
        <v>86006</v>
      </c>
      <c r="AQ254" s="17">
        <v>86255</v>
      </c>
    </row>
    <row r="255" spans="1:43" ht="16" x14ac:dyDescent="0.2">
      <c r="A255" s="17">
        <v>214</v>
      </c>
      <c r="B255" s="17" t="s">
        <v>267</v>
      </c>
      <c r="C255" s="17">
        <v>1.39</v>
      </c>
      <c r="D255" s="17">
        <v>0.13</v>
      </c>
      <c r="E255" s="17">
        <v>1.26</v>
      </c>
      <c r="F255" s="17">
        <v>36.1</v>
      </c>
      <c r="G255" s="17">
        <v>36.4</v>
      </c>
      <c r="H255" s="17">
        <v>-0.3</v>
      </c>
      <c r="I255" s="17">
        <v>8.35</v>
      </c>
      <c r="J255" s="17">
        <v>74.67</v>
      </c>
      <c r="K255" s="17">
        <v>12.99</v>
      </c>
      <c r="L255" s="17">
        <v>194.8</v>
      </c>
      <c r="M255" s="17">
        <v>23.46</v>
      </c>
      <c r="N255" s="17">
        <v>1.71</v>
      </c>
      <c r="O255" s="17">
        <v>21.75</v>
      </c>
      <c r="P255" s="17">
        <v>14.81</v>
      </c>
      <c r="Q255" s="17">
        <v>23.62</v>
      </c>
      <c r="R255" s="17">
        <v>-8.81</v>
      </c>
      <c r="S255" s="17">
        <v>63.14</v>
      </c>
      <c r="T255" s="17">
        <v>48.15</v>
      </c>
      <c r="U255" s="17">
        <v>14.99</v>
      </c>
      <c r="V255" s="17">
        <v>36.1</v>
      </c>
      <c r="W255" s="17">
        <v>36.700000000000003</v>
      </c>
      <c r="X255" s="17">
        <v>425.23</v>
      </c>
      <c r="Y255" s="17">
        <v>740</v>
      </c>
      <c r="Z255" s="17">
        <v>68.430000000000007</v>
      </c>
      <c r="AA255" s="17">
        <v>418.21</v>
      </c>
      <c r="AB255" s="17">
        <v>708</v>
      </c>
      <c r="AC255" s="17">
        <v>65.78</v>
      </c>
      <c r="AD255" s="17">
        <v>423.14</v>
      </c>
      <c r="AE255" s="17">
        <v>676</v>
      </c>
      <c r="AF255" s="17">
        <v>76.17</v>
      </c>
      <c r="AG255" s="17">
        <v>310</v>
      </c>
      <c r="AH255" s="17">
        <v>199</v>
      </c>
      <c r="AI255" s="17">
        <v>57.048214940000001</v>
      </c>
      <c r="AJ255" s="17">
        <v>37.96985308</v>
      </c>
      <c r="AK255" s="17">
        <v>-19.078361999999998</v>
      </c>
      <c r="AL255" s="17">
        <v>79.42</v>
      </c>
      <c r="AM255" s="17">
        <v>5434</v>
      </c>
      <c r="AN255" s="17">
        <v>5244</v>
      </c>
      <c r="AO255" s="17">
        <v>5211</v>
      </c>
      <c r="AP255" s="17">
        <v>5218</v>
      </c>
      <c r="AQ255" s="17">
        <v>5241</v>
      </c>
    </row>
    <row r="256" spans="1:43" ht="16" x14ac:dyDescent="0.2">
      <c r="A256" s="17">
        <v>311</v>
      </c>
      <c r="B256" s="17" t="s">
        <v>268</v>
      </c>
      <c r="C256" s="17">
        <v>0.42</v>
      </c>
      <c r="D256" s="17">
        <v>0.25</v>
      </c>
      <c r="E256" s="17">
        <v>0.17</v>
      </c>
      <c r="F256" s="17">
        <v>22</v>
      </c>
      <c r="G256" s="17">
        <v>26</v>
      </c>
      <c r="H256" s="17">
        <v>-4</v>
      </c>
      <c r="I256" s="17">
        <v>8.93</v>
      </c>
      <c r="J256" s="17">
        <v>67.260000000000005</v>
      </c>
      <c r="K256" s="17">
        <v>10.85</v>
      </c>
      <c r="L256" s="17">
        <v>353.3</v>
      </c>
      <c r="M256" s="17">
        <v>16.73</v>
      </c>
      <c r="N256" s="17">
        <v>0.75</v>
      </c>
      <c r="O256" s="17">
        <v>15.98</v>
      </c>
      <c r="P256" s="17">
        <v>1.23</v>
      </c>
      <c r="Q256" s="17">
        <v>2.62</v>
      </c>
      <c r="R256" s="17">
        <v>-1.39</v>
      </c>
      <c r="S256" s="17">
        <v>63.73</v>
      </c>
      <c r="T256" s="17">
        <v>52.21</v>
      </c>
      <c r="U256" s="17">
        <v>11.52</v>
      </c>
      <c r="V256" s="17">
        <v>37.1</v>
      </c>
      <c r="W256" s="17">
        <v>37.700000000000003</v>
      </c>
      <c r="X256" s="17">
        <v>398.74</v>
      </c>
      <c r="Y256" s="17">
        <v>1435</v>
      </c>
      <c r="Z256" s="17">
        <v>19.21</v>
      </c>
      <c r="AA256" s="17">
        <v>406.19</v>
      </c>
      <c r="AB256" s="17">
        <v>1368</v>
      </c>
      <c r="AC256" s="17">
        <v>22.76</v>
      </c>
      <c r="AD256" s="17">
        <v>398.18</v>
      </c>
      <c r="AE256" s="17">
        <v>1325</v>
      </c>
      <c r="AF256" s="17">
        <v>30.4</v>
      </c>
      <c r="AG256" s="17">
        <v>611</v>
      </c>
      <c r="AH256" s="17">
        <v>356</v>
      </c>
      <c r="AI256" s="17">
        <v>49.537862820000001</v>
      </c>
      <c r="AJ256" s="17">
        <v>29.716193659999998</v>
      </c>
      <c r="AK256" s="17">
        <v>-19.821669</v>
      </c>
      <c r="AL256" s="17">
        <v>67.5</v>
      </c>
      <c r="AM256" s="17">
        <v>12334</v>
      </c>
      <c r="AN256" s="17">
        <v>12057</v>
      </c>
      <c r="AO256" s="17">
        <v>12065</v>
      </c>
      <c r="AP256" s="17">
        <v>11998</v>
      </c>
      <c r="AQ256" s="17">
        <v>11980</v>
      </c>
    </row>
    <row r="257" spans="1:43" ht="16" x14ac:dyDescent="0.2">
      <c r="A257" s="17">
        <v>510</v>
      </c>
      <c r="B257" s="17" t="s">
        <v>269</v>
      </c>
      <c r="C257" s="17">
        <v>1.72</v>
      </c>
      <c r="D257" s="17">
        <v>0.49</v>
      </c>
      <c r="E257" s="17">
        <v>1.23</v>
      </c>
      <c r="F257" s="17">
        <v>17.899999999999999</v>
      </c>
      <c r="G257" s="17">
        <v>24.4</v>
      </c>
      <c r="H257" s="17">
        <v>-6.5</v>
      </c>
      <c r="I257" s="17">
        <v>4.79</v>
      </c>
      <c r="J257" s="17">
        <v>67.260000000000005</v>
      </c>
      <c r="K257" s="17">
        <v>10.51</v>
      </c>
      <c r="L257" s="17">
        <v>362</v>
      </c>
      <c r="M257" s="17">
        <v>19.66</v>
      </c>
      <c r="N257" s="17">
        <v>1.25</v>
      </c>
      <c r="O257" s="17">
        <v>18.41</v>
      </c>
      <c r="P257" s="17">
        <v>1.62</v>
      </c>
      <c r="Q257" s="17">
        <v>2.25</v>
      </c>
      <c r="R257" s="17">
        <v>-0.63</v>
      </c>
      <c r="S257" s="17">
        <v>74.05</v>
      </c>
      <c r="T257" s="17">
        <v>69.56</v>
      </c>
      <c r="U257" s="17">
        <v>4.49</v>
      </c>
      <c r="V257" s="17">
        <v>33.4</v>
      </c>
      <c r="W257" s="17">
        <v>33.5</v>
      </c>
      <c r="X257" s="17">
        <v>479.31</v>
      </c>
      <c r="Y257" s="17">
        <v>428</v>
      </c>
      <c r="Z257" s="17">
        <v>13.67</v>
      </c>
      <c r="AA257" s="17">
        <v>492.89</v>
      </c>
      <c r="AB257" s="17">
        <v>401</v>
      </c>
      <c r="AC257" s="17">
        <v>12.93</v>
      </c>
      <c r="AD257" s="17">
        <v>488.2</v>
      </c>
      <c r="AE257" s="17">
        <v>379</v>
      </c>
      <c r="AF257" s="17">
        <v>13.6</v>
      </c>
      <c r="AG257" s="17">
        <v>76</v>
      </c>
      <c r="AH257" s="17">
        <v>65</v>
      </c>
      <c r="AI257" s="17">
        <v>22.720478329999999</v>
      </c>
      <c r="AJ257" s="17">
        <v>19.095182139999999</v>
      </c>
      <c r="AK257" s="17">
        <v>-3.6252962000000002</v>
      </c>
      <c r="AL257" s="17">
        <v>67.42</v>
      </c>
      <c r="AM257" s="17">
        <v>3345</v>
      </c>
      <c r="AN257" s="17">
        <v>3241</v>
      </c>
      <c r="AO257" s="17">
        <v>3297</v>
      </c>
      <c r="AP257" s="17">
        <v>3385</v>
      </c>
      <c r="AQ257" s="17">
        <v>3404</v>
      </c>
    </row>
    <row r="258" spans="1:43" ht="16" x14ac:dyDescent="0.2">
      <c r="A258" s="17">
        <v>815</v>
      </c>
      <c r="B258" s="17" t="s">
        <v>270</v>
      </c>
      <c r="C258" s="17">
        <v>8.94</v>
      </c>
      <c r="D258" s="17">
        <v>6.9</v>
      </c>
      <c r="E258" s="17">
        <v>2.04</v>
      </c>
      <c r="F258" s="17">
        <v>58.9</v>
      </c>
      <c r="G258" s="17">
        <v>55.7</v>
      </c>
      <c r="H258" s="17">
        <v>3.2</v>
      </c>
      <c r="I258" s="17">
        <v>9.48</v>
      </c>
      <c r="J258" s="17">
        <v>67.31</v>
      </c>
      <c r="K258" s="17">
        <v>14.84</v>
      </c>
      <c r="L258" s="17">
        <v>203.9</v>
      </c>
      <c r="M258" s="17">
        <v>22.6</v>
      </c>
      <c r="N258" s="17">
        <v>4.43</v>
      </c>
      <c r="O258" s="17">
        <v>18.170000000000002</v>
      </c>
      <c r="P258" s="17">
        <v>3.67</v>
      </c>
      <c r="Q258" s="17">
        <v>6.9</v>
      </c>
      <c r="R258" s="17">
        <v>-3.23</v>
      </c>
      <c r="S258" s="17">
        <v>65.14</v>
      </c>
      <c r="T258" s="17">
        <v>46.75</v>
      </c>
      <c r="U258" s="17">
        <v>18.39</v>
      </c>
      <c r="V258" s="17">
        <v>40</v>
      </c>
      <c r="W258" s="17">
        <v>39</v>
      </c>
      <c r="X258" s="17">
        <v>303.91000000000003</v>
      </c>
      <c r="Y258" s="17">
        <v>1239</v>
      </c>
      <c r="Z258" s="17">
        <v>13.87</v>
      </c>
      <c r="AA258" s="17">
        <v>334.81</v>
      </c>
      <c r="AB258" s="17">
        <v>1033</v>
      </c>
      <c r="AC258" s="17">
        <v>11.06</v>
      </c>
      <c r="AD258" s="17">
        <v>331.05</v>
      </c>
      <c r="AE258" s="17">
        <v>1032</v>
      </c>
      <c r="AF258" s="17">
        <v>5.97</v>
      </c>
      <c r="AG258" s="17">
        <v>357</v>
      </c>
      <c r="AH258" s="17">
        <v>277</v>
      </c>
      <c r="AI258" s="17">
        <v>66.816395279999995</v>
      </c>
      <c r="AJ258" s="17">
        <v>47.132890930000002</v>
      </c>
      <c r="AK258" s="17">
        <v>-19.683503999999999</v>
      </c>
      <c r="AL258" s="17">
        <v>67.19</v>
      </c>
      <c r="AM258" s="17">
        <v>5343</v>
      </c>
      <c r="AN258" s="17">
        <v>5585</v>
      </c>
      <c r="AO258" s="17">
        <v>5756</v>
      </c>
      <c r="AP258" s="17">
        <v>5805</v>
      </c>
      <c r="AQ258" s="17">
        <v>5877</v>
      </c>
    </row>
    <row r="259" spans="1:43" ht="16" x14ac:dyDescent="0.2">
      <c r="A259" s="17">
        <v>1316</v>
      </c>
      <c r="B259" s="17" t="s">
        <v>271</v>
      </c>
      <c r="C259" s="17">
        <v>1.35</v>
      </c>
      <c r="D259" s="17">
        <v>0.68</v>
      </c>
      <c r="E259" s="17">
        <v>0.67</v>
      </c>
      <c r="F259" s="17">
        <v>26</v>
      </c>
      <c r="G259" s="17">
        <v>28.9</v>
      </c>
      <c r="H259" s="17">
        <v>-2.9</v>
      </c>
      <c r="I259" s="17">
        <v>7.78</v>
      </c>
      <c r="J259" s="17">
        <v>95.94</v>
      </c>
      <c r="K259" s="17">
        <v>18.920000000000002</v>
      </c>
      <c r="L259" s="17">
        <v>165.8</v>
      </c>
      <c r="M259" s="17">
        <v>17.809999999999999</v>
      </c>
      <c r="N259" s="17">
        <v>0.69</v>
      </c>
      <c r="O259" s="17">
        <v>17.12</v>
      </c>
      <c r="P259" s="17">
        <v>1.73</v>
      </c>
      <c r="Q259" s="17">
        <v>3.69</v>
      </c>
      <c r="R259" s="17">
        <v>-1.96</v>
      </c>
      <c r="S259" s="17">
        <v>68.75</v>
      </c>
      <c r="T259" s="17">
        <v>55.66</v>
      </c>
      <c r="U259" s="17">
        <v>13.09</v>
      </c>
      <c r="V259" s="17">
        <v>39.700000000000003</v>
      </c>
      <c r="W259" s="17">
        <v>40.1</v>
      </c>
      <c r="X259" s="17">
        <v>323.44</v>
      </c>
      <c r="Y259" s="17">
        <v>9837</v>
      </c>
      <c r="Z259" s="17">
        <v>15.68</v>
      </c>
      <c r="AA259" s="17">
        <v>336.47</v>
      </c>
      <c r="AB259" s="17">
        <v>9219</v>
      </c>
      <c r="AC259" s="17">
        <v>15.48</v>
      </c>
      <c r="AD259" s="17">
        <v>327.35000000000002</v>
      </c>
      <c r="AE259" s="17">
        <v>8892</v>
      </c>
      <c r="AF259" s="17">
        <v>17.2</v>
      </c>
      <c r="AG259" s="17">
        <v>4253</v>
      </c>
      <c r="AH259" s="17">
        <v>3224</v>
      </c>
      <c r="AI259" s="17">
        <v>53.323804510000002</v>
      </c>
      <c r="AJ259" s="17">
        <v>38.595987170000001</v>
      </c>
      <c r="AK259" s="17">
        <v>-14.727817</v>
      </c>
      <c r="AL259" s="17">
        <v>93.59</v>
      </c>
      <c r="AM259" s="17">
        <v>79758</v>
      </c>
      <c r="AN259" s="17">
        <v>80702</v>
      </c>
      <c r="AO259" s="17">
        <v>81236</v>
      </c>
      <c r="AP259" s="17">
        <v>82081</v>
      </c>
      <c r="AQ259" s="17">
        <v>83532</v>
      </c>
    </row>
    <row r="260" spans="1:43" ht="16" x14ac:dyDescent="0.2">
      <c r="A260" s="17">
        <v>410</v>
      </c>
      <c r="B260" s="17" t="s">
        <v>272</v>
      </c>
      <c r="C260" s="17">
        <v>0.46</v>
      </c>
      <c r="D260" s="17">
        <v>0.56000000000000005</v>
      </c>
      <c r="E260" s="17">
        <v>-0.1</v>
      </c>
      <c r="F260" s="17">
        <v>25.4</v>
      </c>
      <c r="G260" s="17">
        <v>31.1</v>
      </c>
      <c r="H260" s="17">
        <v>-5.7</v>
      </c>
      <c r="I260" s="17">
        <v>9.09</v>
      </c>
      <c r="J260" s="17">
        <v>62.92</v>
      </c>
      <c r="K260" s="17">
        <v>11.1</v>
      </c>
      <c r="L260" s="17">
        <v>396.1</v>
      </c>
      <c r="M260" s="17">
        <v>20.47</v>
      </c>
      <c r="N260" s="17">
        <v>0.72</v>
      </c>
      <c r="O260" s="17">
        <v>19.75</v>
      </c>
      <c r="P260" s="17">
        <v>1.24</v>
      </c>
      <c r="Q260" s="17">
        <v>2.4500000000000002</v>
      </c>
      <c r="R260" s="17">
        <v>-1.21</v>
      </c>
      <c r="S260" s="17">
        <v>56.18</v>
      </c>
      <c r="T260" s="17">
        <v>48.25</v>
      </c>
      <c r="U260" s="17">
        <v>7.93</v>
      </c>
      <c r="V260" s="17">
        <v>38.299999999999997</v>
      </c>
      <c r="W260" s="17">
        <v>39.299999999999997</v>
      </c>
      <c r="X260" s="17">
        <v>380.15</v>
      </c>
      <c r="Y260" s="17">
        <v>1120</v>
      </c>
      <c r="Z260" s="17">
        <v>20.190000000000001</v>
      </c>
      <c r="AA260" s="17">
        <v>374.59</v>
      </c>
      <c r="AB260" s="17">
        <v>1140</v>
      </c>
      <c r="AC260" s="17">
        <v>24.99</v>
      </c>
      <c r="AD260" s="17">
        <v>373.79</v>
      </c>
      <c r="AE260" s="17">
        <v>1161</v>
      </c>
      <c r="AF260" s="17">
        <v>44.67</v>
      </c>
      <c r="AG260" s="17">
        <v>212</v>
      </c>
      <c r="AH260" s="17">
        <v>124</v>
      </c>
      <c r="AI260" s="17">
        <v>33.990700660000002</v>
      </c>
      <c r="AJ260" s="17">
        <v>20.570670209999999</v>
      </c>
      <c r="AK260" s="17">
        <v>-13.420030000000001</v>
      </c>
      <c r="AL260" s="17">
        <v>65.900000000000006</v>
      </c>
      <c r="AM260" s="17">
        <v>6237</v>
      </c>
      <c r="AN260" s="17">
        <v>6103</v>
      </c>
      <c r="AO260" s="17">
        <v>6101</v>
      </c>
      <c r="AP260" s="17">
        <v>6056</v>
      </c>
      <c r="AQ260" s="17">
        <v>6028</v>
      </c>
    </row>
    <row r="261" spans="1:43" ht="16" x14ac:dyDescent="0.2">
      <c r="A261" s="17">
        <v>1114</v>
      </c>
      <c r="B261" s="17" t="s">
        <v>273</v>
      </c>
      <c r="C261" s="17">
        <v>3.16</v>
      </c>
      <c r="D261" s="17">
        <v>1.05</v>
      </c>
      <c r="E261" s="17">
        <v>2.11</v>
      </c>
      <c r="F261" s="17">
        <v>23.6</v>
      </c>
      <c r="G261" s="17">
        <v>25.1</v>
      </c>
      <c r="H261" s="17">
        <v>-1.5</v>
      </c>
      <c r="I261" s="17">
        <v>7.83</v>
      </c>
      <c r="J261" s="17">
        <v>97.35</v>
      </c>
      <c r="K261" s="17">
        <v>21.34</v>
      </c>
      <c r="L261" s="17">
        <v>136</v>
      </c>
      <c r="M261" s="17">
        <v>20.100000000000001</v>
      </c>
      <c r="N261" s="17">
        <v>2.48</v>
      </c>
      <c r="O261" s="17">
        <v>17.62</v>
      </c>
      <c r="P261" s="17">
        <v>6.33</v>
      </c>
      <c r="Q261" s="17">
        <v>13.39</v>
      </c>
      <c r="R261" s="17">
        <v>-7.06</v>
      </c>
      <c r="S261" s="17">
        <v>71.239999999999995</v>
      </c>
      <c r="T261" s="17">
        <v>57.77</v>
      </c>
      <c r="U261" s="17">
        <v>13.47</v>
      </c>
      <c r="V261" s="17">
        <v>38.200000000000003</v>
      </c>
      <c r="W261" s="17">
        <v>37.9</v>
      </c>
      <c r="X261" s="17">
        <v>280.36</v>
      </c>
      <c r="Y261" s="17">
        <v>14123</v>
      </c>
      <c r="Z261" s="17">
        <v>21.45</v>
      </c>
      <c r="AA261" s="17">
        <v>272.27999999999997</v>
      </c>
      <c r="AB261" s="17">
        <v>13054</v>
      </c>
      <c r="AC261" s="17">
        <v>19.05</v>
      </c>
      <c r="AD261" s="17">
        <v>266.64999999999998</v>
      </c>
      <c r="AE261" s="17">
        <v>12897</v>
      </c>
      <c r="AF261" s="17">
        <v>19.149999999999999</v>
      </c>
      <c r="AG261" s="17">
        <v>6705</v>
      </c>
      <c r="AH261" s="17">
        <v>5016</v>
      </c>
      <c r="AI261" s="17">
        <v>49.09138832</v>
      </c>
      <c r="AJ261" s="17">
        <v>36.226022649999997</v>
      </c>
      <c r="AK261" s="17">
        <v>-12.865366</v>
      </c>
      <c r="AL261" s="17">
        <v>98.94</v>
      </c>
      <c r="AM261" s="17">
        <v>136582</v>
      </c>
      <c r="AN261" s="17">
        <v>137816</v>
      </c>
      <c r="AO261" s="17">
        <v>138191</v>
      </c>
      <c r="AP261" s="17">
        <v>137681</v>
      </c>
      <c r="AQ261" s="17">
        <v>138464</v>
      </c>
    </row>
    <row r="262" spans="1:43" ht="16" x14ac:dyDescent="0.2">
      <c r="A262" s="17">
        <v>1420</v>
      </c>
      <c r="B262" s="17" t="s">
        <v>274</v>
      </c>
      <c r="C262" s="17">
        <v>0.73</v>
      </c>
      <c r="D262" s="17">
        <v>0.27</v>
      </c>
      <c r="E262" s="17">
        <v>0.46</v>
      </c>
      <c r="F262" s="17">
        <v>26.8</v>
      </c>
      <c r="G262" s="17">
        <v>26.2</v>
      </c>
      <c r="H262" s="17">
        <v>0.6</v>
      </c>
      <c r="I262" s="17">
        <v>6.69</v>
      </c>
      <c r="J262" s="17">
        <v>72.91</v>
      </c>
      <c r="K262" s="17">
        <v>18.32</v>
      </c>
      <c r="L262" s="17">
        <v>196.8</v>
      </c>
      <c r="M262" s="17">
        <v>27.3</v>
      </c>
      <c r="N262" s="17">
        <v>3.56</v>
      </c>
      <c r="O262" s="17">
        <v>23.74</v>
      </c>
      <c r="P262" s="17">
        <v>4.26</v>
      </c>
      <c r="Q262" s="17">
        <v>8.42</v>
      </c>
      <c r="R262" s="17">
        <v>-4.16</v>
      </c>
      <c r="S262" s="17">
        <v>70.3</v>
      </c>
      <c r="T262" s="17">
        <v>57.23</v>
      </c>
      <c r="U262" s="17">
        <v>13.07</v>
      </c>
      <c r="V262" s="17">
        <v>35.5</v>
      </c>
      <c r="W262" s="17">
        <v>36.200000000000003</v>
      </c>
      <c r="X262" s="17">
        <v>332.72</v>
      </c>
      <c r="Y262" s="17">
        <v>603</v>
      </c>
      <c r="Z262" s="17">
        <v>25.96</v>
      </c>
      <c r="AA262" s="17">
        <v>332.58</v>
      </c>
      <c r="AB262" s="17">
        <v>564</v>
      </c>
      <c r="AC262" s="17">
        <v>26.21</v>
      </c>
      <c r="AD262" s="17">
        <v>342.23</v>
      </c>
      <c r="AE262" s="17">
        <v>530</v>
      </c>
      <c r="AF262" s="17">
        <v>27.24</v>
      </c>
      <c r="AG262" s="17">
        <v>251</v>
      </c>
      <c r="AH262" s="17">
        <v>140</v>
      </c>
      <c r="AI262" s="17">
        <v>35.69904708</v>
      </c>
      <c r="AJ262" s="17">
        <v>18.664178110000002</v>
      </c>
      <c r="AK262" s="17">
        <v>-17.034869</v>
      </c>
      <c r="AL262" s="17">
        <v>77.180000000000007</v>
      </c>
      <c r="AM262" s="17">
        <v>7031</v>
      </c>
      <c r="AN262" s="17">
        <v>6942</v>
      </c>
      <c r="AO262" s="17">
        <v>7087</v>
      </c>
      <c r="AP262" s="17">
        <v>7292</v>
      </c>
      <c r="AQ262" s="17">
        <v>7501</v>
      </c>
    </row>
    <row r="263" spans="1:43" ht="16" x14ac:dyDescent="0.2">
      <c r="A263" s="17">
        <v>1610</v>
      </c>
      <c r="B263" s="17" t="s">
        <v>275</v>
      </c>
      <c r="C263" s="17">
        <v>3.41</v>
      </c>
      <c r="D263" s="17">
        <v>0.81</v>
      </c>
      <c r="E263" s="17">
        <v>2.6</v>
      </c>
      <c r="F263" s="17">
        <v>35</v>
      </c>
      <c r="G263" s="17">
        <v>35.799999999999997</v>
      </c>
      <c r="H263" s="17">
        <v>-0.8</v>
      </c>
      <c r="I263" s="17">
        <v>5.76</v>
      </c>
      <c r="J263" s="17">
        <v>85.85</v>
      </c>
      <c r="K263" s="17">
        <v>13.85</v>
      </c>
      <c r="L263" s="17">
        <v>242.8</v>
      </c>
      <c r="M263" s="17">
        <v>25.22</v>
      </c>
      <c r="N263" s="17">
        <v>1.04</v>
      </c>
      <c r="O263" s="17">
        <v>24.18</v>
      </c>
      <c r="P263" s="17">
        <v>1.1599999999999999</v>
      </c>
      <c r="Q263" s="17">
        <v>2.21</v>
      </c>
      <c r="R263" s="17">
        <v>-1.05</v>
      </c>
      <c r="S263" s="17">
        <v>64.55</v>
      </c>
      <c r="T263" s="17">
        <v>52.54</v>
      </c>
      <c r="U263" s="17">
        <v>12.01</v>
      </c>
      <c r="V263" s="17">
        <v>37.299999999999997</v>
      </c>
      <c r="W263" s="17">
        <v>38.5</v>
      </c>
      <c r="X263" s="17">
        <v>359.65</v>
      </c>
      <c r="Y263" s="17">
        <v>1162</v>
      </c>
      <c r="Z263" s="17">
        <v>12.68</v>
      </c>
      <c r="AA263" s="17">
        <v>371.29</v>
      </c>
      <c r="AB263" s="17">
        <v>1084</v>
      </c>
      <c r="AC263" s="17">
        <v>10.66</v>
      </c>
      <c r="AD263" s="17">
        <v>369.55</v>
      </c>
      <c r="AE263" s="17">
        <v>1020</v>
      </c>
      <c r="AF263" s="17">
        <v>9.5399999999999991</v>
      </c>
      <c r="AG263" s="17">
        <v>315</v>
      </c>
      <c r="AH263" s="17">
        <v>290</v>
      </c>
      <c r="AI263" s="17">
        <v>35.581158930000001</v>
      </c>
      <c r="AJ263" s="17">
        <v>31.552605809999999</v>
      </c>
      <c r="AK263" s="17">
        <v>-4.0285530999999999</v>
      </c>
      <c r="AL263" s="17">
        <v>84.89</v>
      </c>
      <c r="AM263" s="17">
        <v>8853</v>
      </c>
      <c r="AN263" s="17">
        <v>8907</v>
      </c>
      <c r="AO263" s="17">
        <v>8933</v>
      </c>
      <c r="AP263" s="17">
        <v>9006</v>
      </c>
      <c r="AQ263" s="17">
        <v>9191</v>
      </c>
    </row>
    <row r="264" spans="1:43" ht="16" x14ac:dyDescent="0.2">
      <c r="A264" s="17">
        <v>312</v>
      </c>
      <c r="B264" s="17" t="s">
        <v>276</v>
      </c>
      <c r="C264" s="17">
        <v>1.61</v>
      </c>
      <c r="D264" s="17">
        <v>0.37</v>
      </c>
      <c r="E264" s="17">
        <v>1.24</v>
      </c>
      <c r="F264" s="17">
        <v>20.2</v>
      </c>
      <c r="G264" s="17">
        <v>22.7</v>
      </c>
      <c r="H264" s="17">
        <v>-2.5</v>
      </c>
      <c r="I264" s="17">
        <v>6.99</v>
      </c>
      <c r="J264" s="17">
        <v>89.86</v>
      </c>
      <c r="K264" s="17">
        <v>16.38</v>
      </c>
      <c r="L264" s="17">
        <v>175.8</v>
      </c>
      <c r="M264" s="17">
        <v>16.38</v>
      </c>
      <c r="N264" s="17">
        <v>0.56000000000000005</v>
      </c>
      <c r="O264" s="17">
        <v>15.82</v>
      </c>
      <c r="P264" s="17">
        <v>1.5</v>
      </c>
      <c r="Q264" s="17">
        <v>3.28</v>
      </c>
      <c r="R264" s="17">
        <v>-1.78</v>
      </c>
      <c r="S264" s="17">
        <v>73.87</v>
      </c>
      <c r="T264" s="17">
        <v>62.28</v>
      </c>
      <c r="U264" s="17">
        <v>11.59</v>
      </c>
      <c r="V264" s="17">
        <v>37</v>
      </c>
      <c r="W264" s="17">
        <v>37.1</v>
      </c>
      <c r="X264" s="17">
        <v>344.72</v>
      </c>
      <c r="Y264" s="17">
        <v>15701</v>
      </c>
      <c r="Z264" s="17">
        <v>13.33</v>
      </c>
      <c r="AA264" s="17">
        <v>350.84</v>
      </c>
      <c r="AB264" s="17">
        <v>14905</v>
      </c>
      <c r="AC264" s="17">
        <v>13.41</v>
      </c>
      <c r="AD264" s="17">
        <v>340.26</v>
      </c>
      <c r="AE264" s="17">
        <v>14145</v>
      </c>
      <c r="AF264" s="17">
        <v>13.61</v>
      </c>
      <c r="AG264" s="17">
        <v>6156</v>
      </c>
      <c r="AH264" s="17">
        <v>4484</v>
      </c>
      <c r="AI264" s="17">
        <v>46.589421260000002</v>
      </c>
      <c r="AJ264" s="17">
        <v>33.198092809999999</v>
      </c>
      <c r="AK264" s="17">
        <v>-13.391328</v>
      </c>
      <c r="AL264" s="17">
        <v>92.12</v>
      </c>
      <c r="AM264" s="17">
        <v>132133</v>
      </c>
      <c r="AN264" s="17">
        <v>133192</v>
      </c>
      <c r="AO264" s="17">
        <v>134067</v>
      </c>
      <c r="AP264" s="17">
        <v>134084</v>
      </c>
      <c r="AQ264" s="17">
        <v>135068</v>
      </c>
    </row>
    <row r="265" spans="1:43" ht="16" x14ac:dyDescent="0.2">
      <c r="A265" s="17">
        <v>914</v>
      </c>
      <c r="B265" s="17" t="s">
        <v>277</v>
      </c>
      <c r="C265" s="17">
        <v>0.61</v>
      </c>
      <c r="D265" s="17">
        <v>0.36</v>
      </c>
      <c r="E265" s="17">
        <v>0.25</v>
      </c>
      <c r="F265" s="17">
        <v>37.4</v>
      </c>
      <c r="G265" s="17">
        <v>33.700000000000003</v>
      </c>
      <c r="H265" s="17">
        <v>3.7</v>
      </c>
      <c r="I265" s="17">
        <v>6.63</v>
      </c>
      <c r="J265" s="17">
        <v>68.290000000000006</v>
      </c>
      <c r="K265" s="17">
        <v>11.34</v>
      </c>
      <c r="L265" s="17">
        <v>436.2</v>
      </c>
      <c r="M265" s="17">
        <v>18.29</v>
      </c>
      <c r="N265" s="17">
        <v>0.76</v>
      </c>
      <c r="O265" s="17">
        <v>17.53</v>
      </c>
      <c r="P265" s="17">
        <v>2.0499999999999998</v>
      </c>
      <c r="Q265" s="17">
        <v>3.19</v>
      </c>
      <c r="R265" s="17">
        <v>-1.1399999999999999</v>
      </c>
      <c r="S265" s="17">
        <v>52.91</v>
      </c>
      <c r="T265" s="17">
        <v>44.47</v>
      </c>
      <c r="U265" s="17">
        <v>8.44</v>
      </c>
      <c r="V265" s="17">
        <v>39.1</v>
      </c>
      <c r="W265" s="17">
        <v>40.1</v>
      </c>
      <c r="X265" s="17">
        <v>366.42</v>
      </c>
      <c r="Y265" s="17">
        <v>1303</v>
      </c>
      <c r="Z265" s="17">
        <v>21.75</v>
      </c>
      <c r="AA265" s="17">
        <v>357.42</v>
      </c>
      <c r="AB265" s="17">
        <v>1289</v>
      </c>
      <c r="AC265" s="17">
        <v>17.28</v>
      </c>
      <c r="AD265" s="17">
        <v>360.44</v>
      </c>
      <c r="AE265" s="17">
        <v>1307</v>
      </c>
      <c r="AF265" s="17">
        <v>17.309999999999999</v>
      </c>
      <c r="AG265" s="17">
        <v>161</v>
      </c>
      <c r="AH265" s="17">
        <v>122</v>
      </c>
      <c r="AI265" s="17">
        <v>24.206886180000001</v>
      </c>
      <c r="AJ265" s="17">
        <v>19.309908199999999</v>
      </c>
      <c r="AK265" s="17">
        <v>-4.8969779999999998</v>
      </c>
      <c r="AL265" s="17">
        <v>71.959999999999994</v>
      </c>
      <c r="AM265" s="17">
        <v>6651</v>
      </c>
      <c r="AN265" s="17">
        <v>6374</v>
      </c>
      <c r="AO265" s="17">
        <v>6340</v>
      </c>
      <c r="AP265" s="17">
        <v>6298</v>
      </c>
      <c r="AQ265" s="17">
        <v>6318</v>
      </c>
    </row>
    <row r="266" spans="1:43" ht="16" x14ac:dyDescent="0.2">
      <c r="A266" s="17">
        <v>1317</v>
      </c>
      <c r="B266" s="17" t="s">
        <v>278</v>
      </c>
      <c r="C266" s="17">
        <v>1.99</v>
      </c>
      <c r="D266" s="17">
        <v>0.86</v>
      </c>
      <c r="E266" s="17">
        <v>1.1299999999999999</v>
      </c>
      <c r="F266" s="17">
        <v>26.3</v>
      </c>
      <c r="G266" s="17">
        <v>30.4</v>
      </c>
      <c r="H266" s="17">
        <v>-4.0999999999999996</v>
      </c>
      <c r="I266" s="17">
        <v>11.18</v>
      </c>
      <c r="J266" s="17">
        <v>100.55</v>
      </c>
      <c r="K266" s="17">
        <v>22.95</v>
      </c>
      <c r="L266" s="17">
        <v>187.7</v>
      </c>
      <c r="M266" s="17">
        <v>15.04</v>
      </c>
      <c r="N266" s="17">
        <v>0.67</v>
      </c>
      <c r="O266" s="17">
        <v>14.37</v>
      </c>
      <c r="P266" s="17">
        <v>2.62</v>
      </c>
      <c r="Q266" s="17">
        <v>5.43</v>
      </c>
      <c r="R266" s="17">
        <v>-2.81</v>
      </c>
      <c r="S266" s="17">
        <v>70.599999999999994</v>
      </c>
      <c r="T266" s="17">
        <v>58.47</v>
      </c>
      <c r="U266" s="17">
        <v>12.13</v>
      </c>
      <c r="V266" s="17">
        <v>40.5</v>
      </c>
      <c r="W266" s="17">
        <v>40.799999999999997</v>
      </c>
      <c r="X266" s="17">
        <v>321.61</v>
      </c>
      <c r="Y266" s="17">
        <v>45564</v>
      </c>
      <c r="Z266" s="17">
        <v>48.3</v>
      </c>
      <c r="AA266" s="17">
        <v>328.31</v>
      </c>
      <c r="AB266" s="17">
        <v>39013</v>
      </c>
      <c r="AC266" s="17">
        <v>52.47</v>
      </c>
      <c r="AD266" s="17">
        <v>321.72000000000003</v>
      </c>
      <c r="AE266" s="17">
        <v>38522</v>
      </c>
      <c r="AF266" s="17">
        <v>58.61</v>
      </c>
      <c r="AG266" s="17">
        <v>17180</v>
      </c>
      <c r="AH266" s="17">
        <v>11499</v>
      </c>
      <c r="AI266" s="17">
        <v>57.073567760000003</v>
      </c>
      <c r="AJ266" s="17">
        <v>37.268952910000003</v>
      </c>
      <c r="AK266" s="17">
        <v>-19.804614999999998</v>
      </c>
      <c r="AL266" s="17">
        <v>100.98</v>
      </c>
      <c r="AM266" s="17">
        <v>301015</v>
      </c>
      <c r="AN266" s="17">
        <v>304668</v>
      </c>
      <c r="AO266" s="17">
        <v>304952</v>
      </c>
      <c r="AP266" s="17">
        <v>305906</v>
      </c>
      <c r="AQ266" s="17">
        <v>308541</v>
      </c>
    </row>
    <row r="267" spans="1:43" ht="16" x14ac:dyDescent="0.2">
      <c r="A267" s="17">
        <v>1822</v>
      </c>
      <c r="B267" s="17" t="s">
        <v>279</v>
      </c>
      <c r="C267" s="17">
        <v>0.42</v>
      </c>
      <c r="D267" s="17">
        <v>0.23</v>
      </c>
      <c r="E267" s="17">
        <v>0.19</v>
      </c>
      <c r="F267" s="17">
        <v>16.3</v>
      </c>
      <c r="G267" s="17">
        <v>22.9</v>
      </c>
      <c r="H267" s="17">
        <v>-6.6</v>
      </c>
      <c r="I267" s="17">
        <v>8.43</v>
      </c>
      <c r="J267" s="17">
        <v>64.55</v>
      </c>
      <c r="K267" s="17">
        <v>11.94</v>
      </c>
      <c r="L267" s="17">
        <v>366.5</v>
      </c>
      <c r="M267" s="17">
        <v>18.8</v>
      </c>
      <c r="N267" s="17">
        <v>0.59</v>
      </c>
      <c r="O267" s="17">
        <v>18.21</v>
      </c>
      <c r="P267" s="17">
        <v>1.28</v>
      </c>
      <c r="Q267" s="17">
        <v>2.33</v>
      </c>
      <c r="R267" s="17">
        <v>-1.05</v>
      </c>
      <c r="S267" s="17">
        <v>49.07</v>
      </c>
      <c r="T267" s="17">
        <v>37.409999999999997</v>
      </c>
      <c r="U267" s="17">
        <v>11.66</v>
      </c>
      <c r="V267" s="17">
        <v>37.1</v>
      </c>
      <c r="W267" s="17">
        <v>37.799999999999997</v>
      </c>
      <c r="X267" s="17">
        <v>363.77</v>
      </c>
      <c r="Y267" s="17">
        <v>579</v>
      </c>
      <c r="Z267" s="17">
        <v>25.53</v>
      </c>
      <c r="AA267" s="17">
        <v>366.39</v>
      </c>
      <c r="AB267" s="17">
        <v>554</v>
      </c>
      <c r="AC267" s="17">
        <v>22.78</v>
      </c>
      <c r="AD267" s="17">
        <v>372.2</v>
      </c>
      <c r="AE267" s="17">
        <v>524</v>
      </c>
      <c r="AF267" s="17">
        <v>25.89</v>
      </c>
      <c r="AG267" s="17">
        <v>235</v>
      </c>
      <c r="AH267" s="17">
        <v>142</v>
      </c>
      <c r="AI267" s="17">
        <v>49.0605428</v>
      </c>
      <c r="AJ267" s="17">
        <v>30.277185500000002</v>
      </c>
      <c r="AK267" s="17">
        <v>-18.783356999999999</v>
      </c>
      <c r="AL267" s="17">
        <v>66.86</v>
      </c>
      <c r="AM267" s="17">
        <v>4790</v>
      </c>
      <c r="AN267" s="17">
        <v>4667</v>
      </c>
      <c r="AO267" s="17">
        <v>4699</v>
      </c>
      <c r="AP267" s="17">
        <v>4685</v>
      </c>
      <c r="AQ267" s="17">
        <v>4690</v>
      </c>
    </row>
    <row r="268" spans="1:43" ht="16" x14ac:dyDescent="0.2">
      <c r="A268" s="17">
        <v>617</v>
      </c>
      <c r="B268" s="17" t="s">
        <v>280</v>
      </c>
      <c r="C268" s="17">
        <v>1.85</v>
      </c>
      <c r="D268" s="17">
        <v>0.67</v>
      </c>
      <c r="E268" s="17">
        <v>1.18</v>
      </c>
      <c r="F268" s="17">
        <v>19.399999999999999</v>
      </c>
      <c r="G268" s="17">
        <v>22.4</v>
      </c>
      <c r="H268" s="17">
        <v>-3</v>
      </c>
      <c r="I268" s="17">
        <v>5.52</v>
      </c>
      <c r="J268" s="17">
        <v>71.42</v>
      </c>
      <c r="K268" s="17">
        <v>12.47</v>
      </c>
      <c r="L268" s="17">
        <v>227</v>
      </c>
      <c r="M268" s="17">
        <v>19.16</v>
      </c>
      <c r="N268" s="17">
        <v>0.87</v>
      </c>
      <c r="O268" s="17">
        <v>18.29</v>
      </c>
      <c r="P268" s="17">
        <v>2.4700000000000002</v>
      </c>
      <c r="Q268" s="17">
        <v>3.64</v>
      </c>
      <c r="R268" s="17">
        <v>-1.17</v>
      </c>
      <c r="S268" s="17">
        <v>60.46</v>
      </c>
      <c r="T268" s="17">
        <v>48.49</v>
      </c>
      <c r="U268" s="17">
        <v>11.97</v>
      </c>
      <c r="V268" s="17">
        <v>35.1</v>
      </c>
      <c r="W268" s="17">
        <v>37</v>
      </c>
      <c r="X268" s="17">
        <v>335.2</v>
      </c>
      <c r="Y268" s="17">
        <v>839</v>
      </c>
      <c r="Z268" s="17">
        <v>18.47</v>
      </c>
      <c r="AA268" s="17">
        <v>338.69</v>
      </c>
      <c r="AB268" s="17">
        <v>789</v>
      </c>
      <c r="AC268" s="17">
        <v>21.02</v>
      </c>
      <c r="AD268" s="17">
        <v>335.95</v>
      </c>
      <c r="AE268" s="17">
        <v>796</v>
      </c>
      <c r="AF268" s="17">
        <v>33.65</v>
      </c>
      <c r="AG268" s="17">
        <v>254</v>
      </c>
      <c r="AH268" s="17">
        <v>156</v>
      </c>
      <c r="AI268" s="17">
        <v>36.342824440000001</v>
      </c>
      <c r="AJ268" s="17">
        <v>22.111977320000001</v>
      </c>
      <c r="AK268" s="17">
        <v>-14.230847000000001</v>
      </c>
      <c r="AL268" s="17">
        <v>77.8</v>
      </c>
      <c r="AM268" s="17">
        <v>6989</v>
      </c>
      <c r="AN268" s="17">
        <v>6818</v>
      </c>
      <c r="AO268" s="17">
        <v>6879</v>
      </c>
      <c r="AP268" s="17">
        <v>7001</v>
      </c>
      <c r="AQ268" s="17">
        <v>7055</v>
      </c>
    </row>
    <row r="269" spans="1:43" ht="16" x14ac:dyDescent="0.2">
      <c r="A269" s="17">
        <v>1713</v>
      </c>
      <c r="B269" s="17" t="s">
        <v>281</v>
      </c>
      <c r="C269" s="17">
        <v>0.68</v>
      </c>
      <c r="D269" s="17">
        <v>0.13</v>
      </c>
      <c r="E269" s="17">
        <v>0.55000000000000004</v>
      </c>
      <c r="F269" s="17">
        <v>21.2</v>
      </c>
      <c r="G269" s="17">
        <v>19.8</v>
      </c>
      <c r="H269" s="17">
        <v>1.4</v>
      </c>
      <c r="I269" s="17">
        <v>8.65</v>
      </c>
      <c r="J269" s="17">
        <v>65.540000000000006</v>
      </c>
      <c r="K269" s="17">
        <v>10.75</v>
      </c>
      <c r="L269" s="17">
        <v>445.1</v>
      </c>
      <c r="M269" s="17">
        <v>14.17</v>
      </c>
      <c r="N269" s="17">
        <v>0.73</v>
      </c>
      <c r="O269" s="17">
        <v>13.44</v>
      </c>
      <c r="P269" s="17">
        <v>1.56</v>
      </c>
      <c r="Q269" s="17">
        <v>2.21</v>
      </c>
      <c r="R269" s="17">
        <v>-0.65</v>
      </c>
      <c r="S269" s="17">
        <v>56.18</v>
      </c>
      <c r="T269" s="17">
        <v>44.96</v>
      </c>
      <c r="U269" s="17">
        <v>11.22</v>
      </c>
      <c r="V269" s="17">
        <v>37.9</v>
      </c>
      <c r="W269" s="17">
        <v>38.6</v>
      </c>
      <c r="X269" s="17">
        <v>422.95</v>
      </c>
      <c r="Y269" s="17">
        <v>1720</v>
      </c>
      <c r="Z269" s="17">
        <v>31.21</v>
      </c>
      <c r="AA269" s="17">
        <v>414.43</v>
      </c>
      <c r="AB269" s="17">
        <v>1680</v>
      </c>
      <c r="AC269" s="17">
        <v>34.17</v>
      </c>
      <c r="AD269" s="17">
        <v>410.34</v>
      </c>
      <c r="AE269" s="17">
        <v>1687</v>
      </c>
      <c r="AF269" s="17">
        <v>37.79</v>
      </c>
      <c r="AG269" s="17">
        <v>361</v>
      </c>
      <c r="AH269" s="17">
        <v>278</v>
      </c>
      <c r="AI269" s="17">
        <v>29.707044109999998</v>
      </c>
      <c r="AJ269" s="17">
        <v>23.653535269999999</v>
      </c>
      <c r="AK269" s="17">
        <v>-6.0535088000000004</v>
      </c>
      <c r="AL269" s="17">
        <v>70.25</v>
      </c>
      <c r="AM269" s="17">
        <v>12152</v>
      </c>
      <c r="AN269" s="17">
        <v>11871</v>
      </c>
      <c r="AO269" s="17">
        <v>11867</v>
      </c>
      <c r="AP269" s="17">
        <v>11793</v>
      </c>
      <c r="AQ269" s="17">
        <v>11753</v>
      </c>
    </row>
    <row r="270" spans="1:43" ht="16" x14ac:dyDescent="0.2">
      <c r="A270" s="17">
        <v>1714</v>
      </c>
      <c r="B270" s="17" t="s">
        <v>282</v>
      </c>
      <c r="C270" s="17">
        <v>1.91</v>
      </c>
      <c r="D270" s="17">
        <v>0.39</v>
      </c>
      <c r="E270" s="17">
        <v>1.52</v>
      </c>
      <c r="F270" s="17">
        <v>24.1</v>
      </c>
      <c r="G270" s="17">
        <v>23.1</v>
      </c>
      <c r="H270" s="17">
        <v>1</v>
      </c>
      <c r="I270" s="17">
        <v>6.91</v>
      </c>
      <c r="J270" s="17">
        <v>98.32</v>
      </c>
      <c r="K270" s="17">
        <v>26.4</v>
      </c>
      <c r="L270" s="17">
        <v>218.3</v>
      </c>
      <c r="M270" s="17">
        <v>17.37</v>
      </c>
      <c r="N270" s="17">
        <v>1.1100000000000001</v>
      </c>
      <c r="O270" s="17">
        <v>16.260000000000002</v>
      </c>
      <c r="P270" s="17">
        <v>1.54</v>
      </c>
      <c r="Q270" s="17">
        <v>2.96</v>
      </c>
      <c r="R270" s="17">
        <v>-1.42</v>
      </c>
      <c r="S270" s="17">
        <v>65.95</v>
      </c>
      <c r="T270" s="17">
        <v>53.71</v>
      </c>
      <c r="U270" s="17">
        <v>12.24</v>
      </c>
      <c r="V270" s="17">
        <v>40.799999999999997</v>
      </c>
      <c r="W270" s="17">
        <v>42.2</v>
      </c>
      <c r="X270" s="17">
        <v>293.89</v>
      </c>
      <c r="Y270" s="17">
        <v>7212</v>
      </c>
      <c r="Z270" s="17">
        <v>34.74</v>
      </c>
      <c r="AA270" s="17">
        <v>290.97000000000003</v>
      </c>
      <c r="AB270" s="17">
        <v>6959</v>
      </c>
      <c r="AC270" s="17">
        <v>34.81</v>
      </c>
      <c r="AD270" s="17">
        <v>286.72000000000003</v>
      </c>
      <c r="AE270" s="17">
        <v>6930</v>
      </c>
      <c r="AF270" s="17">
        <v>37.01</v>
      </c>
      <c r="AG270" s="17">
        <v>1957</v>
      </c>
      <c r="AH270" s="17">
        <v>1334</v>
      </c>
      <c r="AI270" s="17">
        <v>38.971642500000002</v>
      </c>
      <c r="AJ270" s="17">
        <v>26.861584310000001</v>
      </c>
      <c r="AK270" s="17">
        <v>-12.110058</v>
      </c>
      <c r="AL270" s="17">
        <v>99.07</v>
      </c>
      <c r="AM270" s="17">
        <v>50216</v>
      </c>
      <c r="AN270" s="17">
        <v>49898</v>
      </c>
      <c r="AO270" s="17">
        <v>49753</v>
      </c>
      <c r="AP270" s="17">
        <v>49599</v>
      </c>
      <c r="AQ270" s="17">
        <v>49662</v>
      </c>
    </row>
    <row r="271" spans="1:43" ht="16" x14ac:dyDescent="0.2">
      <c r="A271" s="17">
        <v>816</v>
      </c>
      <c r="B271" s="17" t="s">
        <v>283</v>
      </c>
      <c r="C271" s="17">
        <v>4.05</v>
      </c>
      <c r="D271" s="17">
        <v>3.41</v>
      </c>
      <c r="E271" s="17">
        <v>0.64</v>
      </c>
      <c r="F271" s="17">
        <v>48</v>
      </c>
      <c r="G271" s="17">
        <v>44.7</v>
      </c>
      <c r="H271" s="17">
        <v>3.3</v>
      </c>
      <c r="I271" s="17">
        <v>13.16</v>
      </c>
      <c r="J271" s="17">
        <v>93.18</v>
      </c>
      <c r="K271" s="17">
        <v>13.75</v>
      </c>
      <c r="L271" s="17">
        <v>206.5</v>
      </c>
      <c r="M271" s="17">
        <v>27.28</v>
      </c>
      <c r="N271" s="17">
        <v>1.94</v>
      </c>
      <c r="O271" s="17">
        <v>25.34</v>
      </c>
      <c r="P271" s="17">
        <v>6.02</v>
      </c>
      <c r="Q271" s="17">
        <v>12.56</v>
      </c>
      <c r="R271" s="17">
        <v>-6.54</v>
      </c>
      <c r="S271" s="17">
        <v>58.82</v>
      </c>
      <c r="T271" s="17">
        <v>40.67</v>
      </c>
      <c r="U271" s="17">
        <v>18.149999999999999</v>
      </c>
      <c r="V271" s="17">
        <v>38.299999999999997</v>
      </c>
      <c r="W271" s="17">
        <v>38.4</v>
      </c>
      <c r="X271" s="17">
        <v>334.18</v>
      </c>
      <c r="Y271" s="17">
        <v>2688</v>
      </c>
      <c r="Z271" s="17">
        <v>33.35</v>
      </c>
      <c r="AA271" s="17">
        <v>341.29</v>
      </c>
      <c r="AB271" s="17">
        <v>2512</v>
      </c>
      <c r="AC271" s="17">
        <v>32.9</v>
      </c>
      <c r="AD271" s="17">
        <v>337.19</v>
      </c>
      <c r="AE271" s="17">
        <v>2470</v>
      </c>
      <c r="AF271" s="17">
        <v>26.92</v>
      </c>
      <c r="AG271" s="17">
        <v>1377</v>
      </c>
      <c r="AH271" s="17">
        <v>1014</v>
      </c>
      <c r="AI271" s="17">
        <v>73.600940719999997</v>
      </c>
      <c r="AJ271" s="17">
        <v>52.936570089999996</v>
      </c>
      <c r="AK271" s="17">
        <v>-20.664370999999999</v>
      </c>
      <c r="AL271" s="17">
        <v>93.83</v>
      </c>
      <c r="AM271" s="17">
        <v>18709</v>
      </c>
      <c r="AN271" s="17">
        <v>18907</v>
      </c>
      <c r="AO271" s="17">
        <v>18973</v>
      </c>
      <c r="AP271" s="17">
        <v>18918</v>
      </c>
      <c r="AQ271" s="17">
        <v>19155</v>
      </c>
    </row>
    <row r="272" spans="1:43" ht="16" x14ac:dyDescent="0.2">
      <c r="A272" s="17">
        <v>511</v>
      </c>
      <c r="B272" s="17" t="s">
        <v>284</v>
      </c>
      <c r="C272" s="17">
        <v>2.72</v>
      </c>
      <c r="D272" s="17">
        <v>0.71</v>
      </c>
      <c r="E272" s="17">
        <v>2.0099999999999998</v>
      </c>
      <c r="F272" s="17">
        <v>33.299999999999997</v>
      </c>
      <c r="G272" s="17">
        <v>32.9</v>
      </c>
      <c r="H272" s="17">
        <v>0.4</v>
      </c>
      <c r="I272" s="17">
        <v>6.48</v>
      </c>
      <c r="J272" s="17">
        <v>74.16</v>
      </c>
      <c r="K272" s="17">
        <v>9.6300000000000008</v>
      </c>
      <c r="L272" s="17">
        <v>414.6</v>
      </c>
      <c r="M272" s="17">
        <v>19.2</v>
      </c>
      <c r="N272" s="17">
        <v>0.64</v>
      </c>
      <c r="O272" s="17">
        <v>18.559999999999999</v>
      </c>
      <c r="P272" s="17">
        <v>2.94</v>
      </c>
      <c r="Q272" s="17">
        <v>5.29</v>
      </c>
      <c r="R272" s="17">
        <v>-2.35</v>
      </c>
      <c r="S272" s="17">
        <v>66.41</v>
      </c>
      <c r="T272" s="17">
        <v>61.25</v>
      </c>
      <c r="U272" s="17">
        <v>5.16</v>
      </c>
      <c r="V272" s="17">
        <v>34.1</v>
      </c>
      <c r="W272" s="17">
        <v>34</v>
      </c>
      <c r="X272" s="17">
        <v>491.56</v>
      </c>
      <c r="Y272" s="17">
        <v>324</v>
      </c>
      <c r="Z272" s="17">
        <v>23.69</v>
      </c>
      <c r="AA272" s="17">
        <v>521.67999999999995</v>
      </c>
      <c r="AB272" s="17">
        <v>325</v>
      </c>
      <c r="AC272" s="17">
        <v>23.37</v>
      </c>
      <c r="AD272" s="17">
        <v>542.84</v>
      </c>
      <c r="AE272" s="17">
        <v>307</v>
      </c>
      <c r="AF272" s="17">
        <v>17.54</v>
      </c>
      <c r="AG272" s="17">
        <v>79</v>
      </c>
      <c r="AH272" s="17">
        <v>73</v>
      </c>
      <c r="AI272" s="17">
        <v>24.144254279999998</v>
      </c>
      <c r="AJ272" s="17">
        <v>21.055667719999999</v>
      </c>
      <c r="AK272" s="17">
        <v>-3.0885866000000002</v>
      </c>
      <c r="AL272" s="17">
        <v>73.930000000000007</v>
      </c>
      <c r="AM272" s="17">
        <v>3272</v>
      </c>
      <c r="AN272" s="17">
        <v>3225</v>
      </c>
      <c r="AO272" s="17">
        <v>3316</v>
      </c>
      <c r="AP272" s="17">
        <v>3431</v>
      </c>
      <c r="AQ272" s="17">
        <v>3467</v>
      </c>
    </row>
    <row r="273" spans="1:43" ht="16" x14ac:dyDescent="0.2">
      <c r="A273" s="17">
        <v>313</v>
      </c>
      <c r="B273" s="17" t="s">
        <v>285</v>
      </c>
      <c r="C273" s="17">
        <v>1.1100000000000001</v>
      </c>
      <c r="D273" s="17">
        <v>0.26</v>
      </c>
      <c r="E273" s="17">
        <v>0.85</v>
      </c>
      <c r="F273" s="17">
        <v>26.9</v>
      </c>
      <c r="G273" s="17">
        <v>26.3</v>
      </c>
      <c r="H273" s="17">
        <v>0.6</v>
      </c>
      <c r="I273" s="17">
        <v>6.72</v>
      </c>
      <c r="J273" s="17">
        <v>70.39</v>
      </c>
      <c r="K273" s="17">
        <v>13.51</v>
      </c>
      <c r="L273" s="17">
        <v>179.6</v>
      </c>
      <c r="M273" s="17">
        <v>20.98</v>
      </c>
      <c r="N273" s="17">
        <v>0.91</v>
      </c>
      <c r="O273" s="17">
        <v>20.07</v>
      </c>
      <c r="P273" s="17">
        <v>1.03</v>
      </c>
      <c r="Q273" s="17">
        <v>2.2799999999999998</v>
      </c>
      <c r="R273" s="17">
        <v>-1.25</v>
      </c>
      <c r="S273" s="17">
        <v>67.430000000000007</v>
      </c>
      <c r="T273" s="17">
        <v>54.86</v>
      </c>
      <c r="U273" s="17">
        <v>12.57</v>
      </c>
      <c r="V273" s="17">
        <v>36.799999999999997</v>
      </c>
      <c r="W273" s="17">
        <v>37</v>
      </c>
      <c r="X273" s="17">
        <v>313.35000000000002</v>
      </c>
      <c r="Y273" s="17">
        <v>5830</v>
      </c>
      <c r="Z273" s="17">
        <v>7.98</v>
      </c>
      <c r="AA273" s="17">
        <v>313.33</v>
      </c>
      <c r="AB273" s="17">
        <v>5460</v>
      </c>
      <c r="AC273" s="17">
        <v>7.2</v>
      </c>
      <c r="AD273" s="17">
        <v>306.54000000000002</v>
      </c>
      <c r="AE273" s="17">
        <v>5140</v>
      </c>
      <c r="AF273" s="17">
        <v>8.0500000000000007</v>
      </c>
      <c r="AG273" s="17">
        <v>1535</v>
      </c>
      <c r="AH273" s="17">
        <v>1023</v>
      </c>
      <c r="AI273" s="17">
        <v>33.267592809999996</v>
      </c>
      <c r="AJ273" s="17">
        <v>21.527324759999999</v>
      </c>
      <c r="AK273" s="17">
        <v>-11.740268</v>
      </c>
      <c r="AL273" s="17">
        <v>74.23</v>
      </c>
      <c r="AM273" s="17">
        <v>46141</v>
      </c>
      <c r="AN273" s="17">
        <v>46006</v>
      </c>
      <c r="AO273" s="17">
        <v>46625</v>
      </c>
      <c r="AP273" s="17">
        <v>46945</v>
      </c>
      <c r="AQ273" s="17">
        <v>47521</v>
      </c>
    </row>
    <row r="274" spans="1:43" ht="16" x14ac:dyDescent="0.2">
      <c r="A274" s="17">
        <v>714</v>
      </c>
      <c r="B274" s="17" t="s">
        <v>286</v>
      </c>
      <c r="C274" s="17">
        <v>0.83</v>
      </c>
      <c r="D274" s="17">
        <v>0.13</v>
      </c>
      <c r="E274" s="17">
        <v>0.7</v>
      </c>
      <c r="F274" s="17">
        <v>26.4</v>
      </c>
      <c r="G274" s="17">
        <v>13.8</v>
      </c>
      <c r="H274" s="17">
        <v>12.6</v>
      </c>
      <c r="I274" s="17">
        <v>5.2</v>
      </c>
      <c r="J274" s="17">
        <v>83.41</v>
      </c>
      <c r="K274" s="17">
        <v>13.38</v>
      </c>
      <c r="L274" s="17">
        <v>264.2</v>
      </c>
      <c r="M274" s="17">
        <v>23.79</v>
      </c>
      <c r="N274" s="17">
        <v>2.14</v>
      </c>
      <c r="O274" s="17">
        <v>21.65</v>
      </c>
      <c r="P274" s="17">
        <v>7.53</v>
      </c>
      <c r="Q274" s="17">
        <v>16.84</v>
      </c>
      <c r="R274" s="17">
        <v>-9.31</v>
      </c>
      <c r="S274" s="17">
        <v>64.540000000000006</v>
      </c>
      <c r="T274" s="17">
        <v>51.62</v>
      </c>
      <c r="U274" s="17">
        <v>12.92</v>
      </c>
      <c r="V274" s="17">
        <v>34.299999999999997</v>
      </c>
      <c r="W274" s="17">
        <v>34.4</v>
      </c>
      <c r="X274" s="17">
        <v>461.18</v>
      </c>
      <c r="Y274" s="17">
        <v>917</v>
      </c>
      <c r="Z274" s="17">
        <v>16.7</v>
      </c>
      <c r="AA274" s="17">
        <v>446.94</v>
      </c>
      <c r="AB274" s="17">
        <v>895</v>
      </c>
      <c r="AC274" s="17">
        <v>20.69</v>
      </c>
      <c r="AD274" s="17">
        <v>433.36</v>
      </c>
      <c r="AE274" s="17">
        <v>899</v>
      </c>
      <c r="AF274" s="17">
        <v>31.66</v>
      </c>
      <c r="AG274" s="17">
        <v>362</v>
      </c>
      <c r="AH274" s="17">
        <v>195</v>
      </c>
      <c r="AI274" s="17">
        <v>46.79420889</v>
      </c>
      <c r="AJ274" s="17">
        <v>26.63206774</v>
      </c>
      <c r="AK274" s="17">
        <v>-20.162140999999998</v>
      </c>
      <c r="AL274" s="17">
        <v>82.79</v>
      </c>
      <c r="AM274" s="17">
        <v>7736</v>
      </c>
      <c r="AN274" s="17">
        <v>7463</v>
      </c>
      <c r="AO274" s="17">
        <v>7409</v>
      </c>
      <c r="AP274" s="17">
        <v>7382</v>
      </c>
      <c r="AQ274" s="17">
        <v>7322</v>
      </c>
    </row>
    <row r="275" spans="1:43" ht="16" x14ac:dyDescent="0.2">
      <c r="A275" s="17">
        <v>411</v>
      </c>
      <c r="B275" s="17" t="s">
        <v>287</v>
      </c>
      <c r="C275" s="17">
        <v>0.87</v>
      </c>
      <c r="D275" s="17">
        <v>0.24</v>
      </c>
      <c r="E275" s="17">
        <v>0.63</v>
      </c>
      <c r="F275" s="17">
        <v>25.9</v>
      </c>
      <c r="G275" s="17">
        <v>29.1</v>
      </c>
      <c r="H275" s="17">
        <v>-3.2</v>
      </c>
      <c r="I275" s="17">
        <v>6.08</v>
      </c>
      <c r="J275" s="17">
        <v>63.26</v>
      </c>
      <c r="K275" s="17">
        <v>9.86</v>
      </c>
      <c r="L275" s="17">
        <v>588.9</v>
      </c>
      <c r="M275" s="17">
        <v>12.88</v>
      </c>
      <c r="N275" s="17">
        <v>0.55000000000000004</v>
      </c>
      <c r="O275" s="17">
        <v>12.33</v>
      </c>
      <c r="P275" s="17">
        <v>0.44</v>
      </c>
      <c r="Q275" s="17">
        <v>1.1399999999999999</v>
      </c>
      <c r="R275" s="17">
        <v>-0.7</v>
      </c>
      <c r="S275" s="17">
        <v>43.78</v>
      </c>
      <c r="T275" s="17">
        <v>40.659999999999997</v>
      </c>
      <c r="U275" s="17">
        <v>3.12</v>
      </c>
      <c r="V275" s="17">
        <v>37.6</v>
      </c>
      <c r="W275" s="17">
        <v>39.1</v>
      </c>
      <c r="X275" s="17">
        <v>428.5</v>
      </c>
      <c r="Y275" s="17">
        <v>652</v>
      </c>
      <c r="Z275" s="17">
        <v>20.38</v>
      </c>
      <c r="AA275" s="17">
        <v>469.02</v>
      </c>
      <c r="AB275" s="17">
        <v>705</v>
      </c>
      <c r="AC275" s="17">
        <v>21.33</v>
      </c>
      <c r="AD275" s="17">
        <v>485.8</v>
      </c>
      <c r="AE275" s="17">
        <v>685</v>
      </c>
      <c r="AF275" s="17">
        <v>22.09</v>
      </c>
      <c r="AG275" s="17">
        <v>93</v>
      </c>
      <c r="AH275" s="17">
        <v>45</v>
      </c>
      <c r="AI275" s="17">
        <v>21.507863090000001</v>
      </c>
      <c r="AJ275" s="17">
        <v>10.85121775</v>
      </c>
      <c r="AK275" s="17">
        <v>-10.656644999999999</v>
      </c>
      <c r="AL275" s="17">
        <v>63.16</v>
      </c>
      <c r="AM275" s="17">
        <v>4324</v>
      </c>
      <c r="AN275" s="17">
        <v>4227</v>
      </c>
      <c r="AO275" s="17">
        <v>4166</v>
      </c>
      <c r="AP275" s="17">
        <v>4140</v>
      </c>
      <c r="AQ275" s="17">
        <v>4147</v>
      </c>
    </row>
    <row r="276" spans="1:43" ht="16" x14ac:dyDescent="0.2">
      <c r="A276" s="17">
        <v>412</v>
      </c>
      <c r="B276" s="17" t="s">
        <v>288</v>
      </c>
      <c r="C276" s="17">
        <v>0.24</v>
      </c>
      <c r="D276" s="17">
        <v>0.04</v>
      </c>
      <c r="E276" s="17">
        <v>0.2</v>
      </c>
      <c r="F276" s="17">
        <v>19.2</v>
      </c>
      <c r="G276" s="17">
        <v>22.2</v>
      </c>
      <c r="H276" s="17">
        <v>-3</v>
      </c>
      <c r="I276" s="17">
        <v>6.89</v>
      </c>
      <c r="J276" s="17">
        <v>59.88</v>
      </c>
      <c r="K276" s="17">
        <v>8.31</v>
      </c>
      <c r="L276" s="17">
        <v>732</v>
      </c>
      <c r="M276" s="17">
        <v>15.11</v>
      </c>
      <c r="N276" s="17">
        <v>0.59</v>
      </c>
      <c r="O276" s="17">
        <v>14.52</v>
      </c>
      <c r="P276" s="17">
        <v>0.62</v>
      </c>
      <c r="Q276" s="17">
        <v>1.49</v>
      </c>
      <c r="R276" s="17">
        <v>-0.87</v>
      </c>
      <c r="S276" s="17">
        <v>48.87</v>
      </c>
      <c r="T276" s="17">
        <v>42.19</v>
      </c>
      <c r="U276" s="17">
        <v>6.68</v>
      </c>
      <c r="V276" s="17">
        <v>36.299999999999997</v>
      </c>
      <c r="W276" s="17">
        <v>36.9</v>
      </c>
      <c r="X276" s="17">
        <v>520.45000000000005</v>
      </c>
      <c r="Y276" s="17">
        <v>1721</v>
      </c>
      <c r="Z276" s="17">
        <v>37.36</v>
      </c>
      <c r="AA276" s="17">
        <v>522.57000000000005</v>
      </c>
      <c r="AB276" s="17">
        <v>1933</v>
      </c>
      <c r="AC276" s="17">
        <v>37.06</v>
      </c>
      <c r="AD276" s="17">
        <v>515.59</v>
      </c>
      <c r="AE276" s="17">
        <v>1961</v>
      </c>
      <c r="AF276" s="17">
        <v>33.770000000000003</v>
      </c>
      <c r="AG276" s="17">
        <v>210</v>
      </c>
      <c r="AH276" s="17">
        <v>107</v>
      </c>
      <c r="AI276" s="17">
        <v>25.725836090000001</v>
      </c>
      <c r="AJ276" s="17">
        <v>14.241980570000001</v>
      </c>
      <c r="AK276" s="17">
        <v>-11.483855999999999</v>
      </c>
      <c r="AL276" s="17">
        <v>61.86</v>
      </c>
      <c r="AM276" s="17">
        <v>8163</v>
      </c>
      <c r="AN276" s="17">
        <v>7873</v>
      </c>
      <c r="AO276" s="17">
        <v>7756</v>
      </c>
      <c r="AP276" s="17">
        <v>7624</v>
      </c>
      <c r="AQ276" s="17">
        <v>7513</v>
      </c>
    </row>
    <row r="277" spans="1:43" ht="16" x14ac:dyDescent="0.2">
      <c r="A277" s="17">
        <v>1823</v>
      </c>
      <c r="B277" s="17" t="s">
        <v>289</v>
      </c>
      <c r="C277" s="17">
        <v>2.41</v>
      </c>
      <c r="D277" s="17">
        <v>0.7</v>
      </c>
      <c r="E277" s="17">
        <v>1.71</v>
      </c>
      <c r="F277" s="17">
        <v>25.8</v>
      </c>
      <c r="G277" s="17">
        <v>25.2</v>
      </c>
      <c r="H277" s="17">
        <v>0.6</v>
      </c>
      <c r="I277" s="17">
        <v>7.02</v>
      </c>
      <c r="J277" s="17">
        <v>95.7</v>
      </c>
      <c r="K277" s="17">
        <v>25.77</v>
      </c>
      <c r="L277" s="17">
        <v>195.6</v>
      </c>
      <c r="M277" s="17">
        <v>19.73</v>
      </c>
      <c r="N277" s="17">
        <v>1.18</v>
      </c>
      <c r="O277" s="17">
        <v>18.55</v>
      </c>
      <c r="P277" s="17">
        <v>1.17</v>
      </c>
      <c r="Q277" s="17">
        <v>2.41</v>
      </c>
      <c r="R277" s="17">
        <v>-1.24</v>
      </c>
      <c r="S277" s="17">
        <v>66.239999999999995</v>
      </c>
      <c r="T277" s="17">
        <v>53.38</v>
      </c>
      <c r="U277" s="17">
        <v>12.86</v>
      </c>
      <c r="V277" s="17">
        <v>39.9</v>
      </c>
      <c r="W277" s="17">
        <v>40.6</v>
      </c>
      <c r="X277" s="17">
        <v>293.79000000000002</v>
      </c>
      <c r="Y277" s="17">
        <v>13059</v>
      </c>
      <c r="Z277" s="17">
        <v>30.09</v>
      </c>
      <c r="AA277" s="17">
        <v>298.44</v>
      </c>
      <c r="AB277" s="17">
        <v>12300</v>
      </c>
      <c r="AC277" s="17">
        <v>30.98</v>
      </c>
      <c r="AD277" s="17">
        <v>294.58</v>
      </c>
      <c r="AE277" s="17">
        <v>11775</v>
      </c>
      <c r="AF277" s="17">
        <v>31.28</v>
      </c>
      <c r="AG277" s="17">
        <v>3845</v>
      </c>
      <c r="AH277" s="17">
        <v>2870</v>
      </c>
      <c r="AI277" s="17">
        <v>38.9134593</v>
      </c>
      <c r="AJ277" s="17">
        <v>28.595341049999998</v>
      </c>
      <c r="AK277" s="17">
        <v>-10.318118</v>
      </c>
      <c r="AL277" s="17">
        <v>96.78</v>
      </c>
      <c r="AM277" s="17">
        <v>98809</v>
      </c>
      <c r="AN277" s="17">
        <v>99650</v>
      </c>
      <c r="AO277" s="17">
        <v>99998</v>
      </c>
      <c r="AP277" s="17">
        <v>100237</v>
      </c>
      <c r="AQ277" s="17">
        <v>100366</v>
      </c>
    </row>
    <row r="278" spans="1:43" ht="16" x14ac:dyDescent="0.2">
      <c r="A278" s="17">
        <v>314</v>
      </c>
      <c r="B278" s="17" t="s">
        <v>290</v>
      </c>
      <c r="C278" s="17">
        <v>1.25</v>
      </c>
      <c r="D278" s="17">
        <v>0.17</v>
      </c>
      <c r="E278" s="17">
        <v>1.08</v>
      </c>
      <c r="F278" s="17">
        <v>16.600000000000001</v>
      </c>
      <c r="G278" s="17">
        <v>17.899999999999999</v>
      </c>
      <c r="H278" s="17">
        <v>-1.3</v>
      </c>
      <c r="I278" s="17">
        <v>6.79</v>
      </c>
      <c r="J278" s="17">
        <v>83.17</v>
      </c>
      <c r="K278" s="17">
        <v>11.63</v>
      </c>
      <c r="L278" s="17">
        <v>154.30000000000001</v>
      </c>
      <c r="M278" s="17">
        <v>16.57</v>
      </c>
      <c r="N278" s="17">
        <v>0.45</v>
      </c>
      <c r="O278" s="17">
        <v>16.12</v>
      </c>
      <c r="P278" s="17">
        <v>1.65</v>
      </c>
      <c r="Q278" s="17">
        <v>3.66</v>
      </c>
      <c r="R278" s="17">
        <v>-2.0099999999999998</v>
      </c>
      <c r="S278" s="17">
        <v>73.27</v>
      </c>
      <c r="T278" s="17">
        <v>59.17</v>
      </c>
      <c r="U278" s="17">
        <v>14.1</v>
      </c>
      <c r="V278" s="17">
        <v>34.700000000000003</v>
      </c>
      <c r="W278" s="17">
        <v>34.6</v>
      </c>
      <c r="X278" s="17">
        <v>326.5</v>
      </c>
      <c r="Y278" s="17">
        <v>2326</v>
      </c>
      <c r="Z278" s="17">
        <v>6.7</v>
      </c>
      <c r="AA278" s="17">
        <v>321.58999999999997</v>
      </c>
      <c r="AB278" s="17">
        <v>2244</v>
      </c>
      <c r="AC278" s="17">
        <v>5.62</v>
      </c>
      <c r="AD278" s="17">
        <v>302.82</v>
      </c>
      <c r="AE278" s="17">
        <v>2150</v>
      </c>
      <c r="AF278" s="17">
        <v>4.83</v>
      </c>
      <c r="AG278" s="17">
        <v>1012</v>
      </c>
      <c r="AH278" s="17">
        <v>970</v>
      </c>
      <c r="AI278" s="17">
        <v>43.085831059999997</v>
      </c>
      <c r="AJ278" s="17">
        <v>39.922624190000001</v>
      </c>
      <c r="AK278" s="17">
        <v>-3.1632069</v>
      </c>
      <c r="AL278" s="17">
        <v>81.44</v>
      </c>
      <c r="AM278" s="17">
        <v>23488</v>
      </c>
      <c r="AN278" s="17">
        <v>23735</v>
      </c>
      <c r="AO278" s="17">
        <v>23983</v>
      </c>
      <c r="AP278" s="17">
        <v>24086</v>
      </c>
      <c r="AQ278" s="17">
        <v>24297</v>
      </c>
    </row>
    <row r="279" spans="1:43" ht="16" x14ac:dyDescent="0.2">
      <c r="A279" s="17">
        <v>1824</v>
      </c>
      <c r="B279" s="17" t="s">
        <v>291</v>
      </c>
      <c r="C279" s="17">
        <v>1.06</v>
      </c>
      <c r="D279" s="17">
        <v>0.31</v>
      </c>
      <c r="E279" s="17">
        <v>0.75</v>
      </c>
      <c r="F279" s="17">
        <v>23.9</v>
      </c>
      <c r="G279" s="17">
        <v>23.3</v>
      </c>
      <c r="H279" s="17">
        <v>0.6</v>
      </c>
      <c r="I279" s="17">
        <v>7.81</v>
      </c>
      <c r="J279" s="17">
        <v>65.09</v>
      </c>
      <c r="K279" s="17">
        <v>12.41</v>
      </c>
      <c r="L279" s="17">
        <v>315.89999999999998</v>
      </c>
      <c r="M279" s="17">
        <v>19.63</v>
      </c>
      <c r="N279" s="17">
        <v>0.79</v>
      </c>
      <c r="O279" s="17">
        <v>18.84</v>
      </c>
      <c r="P279" s="17">
        <v>1.03</v>
      </c>
      <c r="Q279" s="17">
        <v>1.64</v>
      </c>
      <c r="R279" s="17">
        <v>-0.61</v>
      </c>
      <c r="S279" s="17">
        <v>67.92</v>
      </c>
      <c r="T279" s="17">
        <v>56.92</v>
      </c>
      <c r="U279" s="17">
        <v>11</v>
      </c>
      <c r="V279" s="17">
        <v>34.5</v>
      </c>
      <c r="W279" s="17">
        <v>35.200000000000003</v>
      </c>
      <c r="X279" s="17">
        <v>417.36</v>
      </c>
      <c r="Y279" s="17">
        <v>1111</v>
      </c>
      <c r="Z279" s="17">
        <v>7.94</v>
      </c>
      <c r="AA279" s="17">
        <v>416.18</v>
      </c>
      <c r="AB279" s="17">
        <v>1107</v>
      </c>
      <c r="AC279" s="17">
        <v>6.79</v>
      </c>
      <c r="AD279" s="17">
        <v>418.85</v>
      </c>
      <c r="AE279" s="17">
        <v>1081</v>
      </c>
      <c r="AF279" s="17">
        <v>3.79</v>
      </c>
      <c r="AG279" s="17">
        <v>415</v>
      </c>
      <c r="AH279" s="17">
        <v>321</v>
      </c>
      <c r="AI279" s="17">
        <v>42.416189699999997</v>
      </c>
      <c r="AJ279" s="17">
        <v>33.257355990000001</v>
      </c>
      <c r="AK279" s="17">
        <v>-9.1588337000000006</v>
      </c>
      <c r="AL279" s="17">
        <v>68.94</v>
      </c>
      <c r="AM279" s="17">
        <v>9784</v>
      </c>
      <c r="AN279" s="17">
        <v>9512</v>
      </c>
      <c r="AO279" s="17">
        <v>9638</v>
      </c>
      <c r="AP279" s="17">
        <v>9709</v>
      </c>
      <c r="AQ279" s="17">
        <v>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3B80-2BA9-4679-BC11-69E1FB8F1F8C}">
  <dimension ref="A1:F310"/>
  <sheetViews>
    <sheetView workbookViewId="0">
      <selection activeCell="B2" sqref="B2:E280"/>
    </sheetView>
  </sheetViews>
  <sheetFormatPr baseColWidth="10" defaultColWidth="8.83203125" defaultRowHeight="13" x14ac:dyDescent="0.15"/>
  <cols>
    <col min="1" max="1" width="36.5" bestFit="1" customWidth="1"/>
    <col min="2" max="4" width="9.1640625" bestFit="1" customWidth="1"/>
    <col min="5" max="5" width="9.1640625" style="12"/>
    <col min="6" max="6" width="36.1640625" bestFit="1" customWidth="1"/>
  </cols>
  <sheetData>
    <row r="1" spans="1:6" ht="57" x14ac:dyDescent="0.2">
      <c r="A1" s="13" t="s">
        <v>377</v>
      </c>
    </row>
    <row r="2" spans="1:6" ht="15" x14ac:dyDescent="0.2">
      <c r="A2" s="3" t="s">
        <v>378</v>
      </c>
      <c r="B2" s="4" t="s">
        <v>379</v>
      </c>
      <c r="C2" s="4" t="s">
        <v>380</v>
      </c>
      <c r="D2" s="4" t="s">
        <v>381</v>
      </c>
      <c r="E2" s="11" t="s">
        <v>0</v>
      </c>
      <c r="F2" s="1"/>
    </row>
    <row r="3" spans="1:6" ht="15" x14ac:dyDescent="0.2">
      <c r="A3" s="5" t="s">
        <v>382</v>
      </c>
      <c r="B3" s="6">
        <v>1421</v>
      </c>
      <c r="C3" s="6">
        <v>1194</v>
      </c>
      <c r="D3" s="6">
        <v>1086</v>
      </c>
      <c r="E3" s="11">
        <v>101</v>
      </c>
      <c r="F3" t="b">
        <f>ISNUMBER(E3)</f>
        <v>1</v>
      </c>
    </row>
    <row r="4" spans="1:6" ht="15" x14ac:dyDescent="0.2">
      <c r="A4" s="7" t="s">
        <v>383</v>
      </c>
      <c r="B4" s="8">
        <v>780</v>
      </c>
      <c r="C4" s="8">
        <v>591</v>
      </c>
      <c r="D4" s="8">
        <v>582</v>
      </c>
      <c r="E4" s="11">
        <v>102</v>
      </c>
    </row>
    <row r="5" spans="1:6" ht="15" x14ac:dyDescent="0.2">
      <c r="A5" s="5" t="s">
        <v>384</v>
      </c>
      <c r="B5" s="6">
        <v>930</v>
      </c>
      <c r="C5" s="6">
        <v>713</v>
      </c>
      <c r="D5" s="6">
        <v>653</v>
      </c>
      <c r="E5" s="11">
        <v>103</v>
      </c>
    </row>
    <row r="6" spans="1:6" ht="15" x14ac:dyDescent="0.2">
      <c r="A6" s="7" t="s">
        <v>385</v>
      </c>
      <c r="B6" s="8">
        <v>589</v>
      </c>
      <c r="C6" s="8">
        <v>521</v>
      </c>
      <c r="D6" s="8">
        <v>467</v>
      </c>
      <c r="E6" s="11">
        <v>104</v>
      </c>
    </row>
    <row r="7" spans="1:6" ht="15" x14ac:dyDescent="0.2">
      <c r="A7" s="5" t="s">
        <v>386</v>
      </c>
      <c r="B7" s="6">
        <v>3325</v>
      </c>
      <c r="C7" s="6">
        <v>2737</v>
      </c>
      <c r="D7" s="6">
        <v>2532</v>
      </c>
      <c r="E7" s="11">
        <v>105</v>
      </c>
    </row>
    <row r="8" spans="1:6" ht="15" x14ac:dyDescent="0.2">
      <c r="A8" s="7" t="s">
        <v>387</v>
      </c>
      <c r="B8" s="8">
        <v>826</v>
      </c>
      <c r="C8" s="8">
        <v>460</v>
      </c>
      <c r="D8" s="8">
        <v>402</v>
      </c>
      <c r="E8" s="11">
        <v>106</v>
      </c>
    </row>
    <row r="9" spans="1:6" ht="15" x14ac:dyDescent="0.2">
      <c r="A9" s="5" t="s">
        <v>388</v>
      </c>
      <c r="B9" s="6">
        <v>1480</v>
      </c>
      <c r="C9" s="6">
        <v>1150</v>
      </c>
      <c r="D9" s="6">
        <v>972</v>
      </c>
      <c r="E9" s="11">
        <v>107</v>
      </c>
    </row>
    <row r="10" spans="1:6" ht="15" x14ac:dyDescent="0.2">
      <c r="A10" s="7" t="s">
        <v>389</v>
      </c>
      <c r="B10" s="8">
        <v>1012</v>
      </c>
      <c r="C10" s="8">
        <v>776</v>
      </c>
      <c r="D10" s="8">
        <v>774</v>
      </c>
      <c r="E10" s="11">
        <v>108</v>
      </c>
    </row>
    <row r="11" spans="1:6" ht="15" x14ac:dyDescent="0.2">
      <c r="A11" s="5" t="s">
        <v>390</v>
      </c>
      <c r="B11" s="6">
        <v>6734</v>
      </c>
      <c r="C11" s="6">
        <v>5249</v>
      </c>
      <c r="D11" s="6">
        <v>4775</v>
      </c>
      <c r="E11" s="11">
        <v>109</v>
      </c>
    </row>
    <row r="12" spans="1:6" ht="15" x14ac:dyDescent="0.2">
      <c r="A12" s="7" t="s">
        <v>391</v>
      </c>
      <c r="B12" s="8">
        <v>1812</v>
      </c>
      <c r="C12" s="8">
        <v>1527</v>
      </c>
      <c r="D12" s="8">
        <v>1239</v>
      </c>
      <c r="E12" s="11">
        <v>110</v>
      </c>
    </row>
    <row r="13" spans="1:6" ht="15" x14ac:dyDescent="0.2">
      <c r="A13" s="5" t="s">
        <v>392</v>
      </c>
      <c r="B13" s="6">
        <v>741</v>
      </c>
      <c r="C13" s="6">
        <v>575</v>
      </c>
      <c r="D13" s="6">
        <v>540</v>
      </c>
      <c r="E13" s="11">
        <v>111</v>
      </c>
    </row>
    <row r="14" spans="1:6" ht="15" x14ac:dyDescent="0.2">
      <c r="A14" s="7" t="s">
        <v>393</v>
      </c>
      <c r="B14" s="8">
        <v>394</v>
      </c>
      <c r="C14" s="8">
        <v>300</v>
      </c>
      <c r="D14" s="8">
        <v>301</v>
      </c>
      <c r="E14" s="11">
        <v>112</v>
      </c>
    </row>
    <row r="15" spans="1:6" ht="15" x14ac:dyDescent="0.2">
      <c r="A15" s="5" t="s">
        <v>394</v>
      </c>
      <c r="B15" s="6">
        <v>2443</v>
      </c>
      <c r="C15" s="6">
        <v>2067</v>
      </c>
      <c r="D15" s="6">
        <v>2411</v>
      </c>
      <c r="E15" s="11">
        <v>113</v>
      </c>
    </row>
    <row r="16" spans="1:6" ht="15" x14ac:dyDescent="0.2">
      <c r="A16" s="7" t="s">
        <v>395</v>
      </c>
      <c r="B16" s="8">
        <v>744</v>
      </c>
      <c r="C16" s="8">
        <v>651</v>
      </c>
      <c r="D16" s="8">
        <v>614</v>
      </c>
      <c r="E16" s="11">
        <v>114</v>
      </c>
    </row>
    <row r="17" spans="1:5" ht="15" x14ac:dyDescent="0.2">
      <c r="A17" s="5" t="s">
        <v>396</v>
      </c>
      <c r="B17" s="6">
        <v>2740</v>
      </c>
      <c r="C17" s="6">
        <v>2134</v>
      </c>
      <c r="D17" s="6">
        <v>1998</v>
      </c>
      <c r="E17" s="11">
        <v>115</v>
      </c>
    </row>
    <row r="18" spans="1:5" ht="15" x14ac:dyDescent="0.2">
      <c r="A18" s="7" t="s">
        <v>397</v>
      </c>
      <c r="B18" s="8">
        <v>1045</v>
      </c>
      <c r="C18" s="8">
        <v>1015</v>
      </c>
      <c r="D18" s="8">
        <v>1086</v>
      </c>
      <c r="E18" s="11">
        <v>116</v>
      </c>
    </row>
    <row r="19" spans="1:5" ht="15" x14ac:dyDescent="0.2">
      <c r="A19" s="5" t="s">
        <v>398</v>
      </c>
      <c r="B19" s="6">
        <v>380</v>
      </c>
      <c r="C19" s="6">
        <v>232</v>
      </c>
      <c r="D19" s="6">
        <v>178</v>
      </c>
      <c r="E19" s="11">
        <v>117</v>
      </c>
    </row>
    <row r="20" spans="1:5" ht="15" x14ac:dyDescent="0.2">
      <c r="A20" s="7" t="s">
        <v>399</v>
      </c>
      <c r="B20" s="8">
        <v>679</v>
      </c>
      <c r="C20" s="8">
        <v>611</v>
      </c>
      <c r="D20" s="8">
        <v>533</v>
      </c>
      <c r="E20" s="11">
        <v>118</v>
      </c>
    </row>
    <row r="21" spans="1:5" ht="15" x14ac:dyDescent="0.2">
      <c r="A21" s="5" t="s">
        <v>400</v>
      </c>
      <c r="B21" s="6">
        <v>681</v>
      </c>
      <c r="C21" s="6">
        <v>519</v>
      </c>
      <c r="D21" s="6">
        <v>580</v>
      </c>
      <c r="E21" s="11">
        <v>119</v>
      </c>
    </row>
    <row r="22" spans="1:5" ht="15" x14ac:dyDescent="0.2">
      <c r="A22" s="7" t="s">
        <v>401</v>
      </c>
      <c r="B22" s="8">
        <v>394</v>
      </c>
      <c r="C22" s="8">
        <v>299</v>
      </c>
      <c r="D22" s="8">
        <v>198</v>
      </c>
      <c r="E22" s="11">
        <v>201</v>
      </c>
    </row>
    <row r="23" spans="1:5" ht="15" x14ac:dyDescent="0.2">
      <c r="A23" s="5" t="s">
        <v>402</v>
      </c>
      <c r="B23" s="6">
        <v>319</v>
      </c>
      <c r="C23" s="6">
        <v>199</v>
      </c>
      <c r="D23" s="6">
        <v>190</v>
      </c>
      <c r="E23" s="11">
        <v>202</v>
      </c>
    </row>
    <row r="24" spans="1:5" ht="15" x14ac:dyDescent="0.2">
      <c r="A24" s="7" t="s">
        <v>403</v>
      </c>
      <c r="B24" s="8">
        <v>113</v>
      </c>
      <c r="C24" s="8">
        <v>57</v>
      </c>
      <c r="D24" s="8">
        <v>59</v>
      </c>
      <c r="E24" s="11">
        <v>203</v>
      </c>
    </row>
    <row r="25" spans="1:5" ht="15" x14ac:dyDescent="0.2">
      <c r="A25" s="5" t="s">
        <v>404</v>
      </c>
      <c r="B25" s="6">
        <v>138</v>
      </c>
      <c r="C25" s="6">
        <v>75</v>
      </c>
      <c r="D25" s="6">
        <v>67</v>
      </c>
      <c r="E25" s="11">
        <v>204</v>
      </c>
    </row>
    <row r="26" spans="1:5" ht="15" x14ac:dyDescent="0.2">
      <c r="A26" s="7" t="s">
        <v>405</v>
      </c>
      <c r="B26" s="8">
        <v>1437</v>
      </c>
      <c r="C26" s="8">
        <v>922</v>
      </c>
      <c r="D26" s="8">
        <v>812</v>
      </c>
      <c r="E26" s="11">
        <v>205</v>
      </c>
    </row>
    <row r="27" spans="1:5" ht="15" x14ac:dyDescent="0.2">
      <c r="A27" s="5" t="s">
        <v>406</v>
      </c>
      <c r="B27" s="6">
        <v>295</v>
      </c>
      <c r="C27" s="6">
        <v>202</v>
      </c>
      <c r="D27" s="6">
        <v>176</v>
      </c>
      <c r="E27" s="11">
        <v>206</v>
      </c>
    </row>
    <row r="28" spans="1:5" ht="15" x14ac:dyDescent="0.2">
      <c r="A28" s="7" t="s">
        <v>407</v>
      </c>
      <c r="B28" s="8">
        <v>183</v>
      </c>
      <c r="C28" s="8">
        <v>117</v>
      </c>
      <c r="D28" s="8">
        <v>103</v>
      </c>
      <c r="E28" s="11">
        <v>207</v>
      </c>
    </row>
    <row r="29" spans="1:5" ht="15" x14ac:dyDescent="0.2">
      <c r="A29" s="5" t="s">
        <v>408</v>
      </c>
      <c r="B29" s="6">
        <v>520</v>
      </c>
      <c r="C29" s="6">
        <v>380</v>
      </c>
      <c r="D29" s="6">
        <v>268</v>
      </c>
      <c r="E29" s="11">
        <v>208</v>
      </c>
    </row>
    <row r="30" spans="1:5" ht="15" x14ac:dyDescent="0.2">
      <c r="A30" s="7" t="s">
        <v>409</v>
      </c>
      <c r="B30" s="8">
        <v>274</v>
      </c>
      <c r="C30" s="8">
        <v>146</v>
      </c>
      <c r="D30" s="8">
        <v>179</v>
      </c>
      <c r="E30" s="11">
        <v>209</v>
      </c>
    </row>
    <row r="31" spans="1:5" ht="15" x14ac:dyDescent="0.2">
      <c r="A31" s="5" t="s">
        <v>410</v>
      </c>
      <c r="B31" s="6">
        <v>740</v>
      </c>
      <c r="C31" s="6">
        <v>634</v>
      </c>
      <c r="D31" s="6">
        <v>438</v>
      </c>
      <c r="E31" s="11">
        <v>210</v>
      </c>
    </row>
    <row r="32" spans="1:5" ht="15" x14ac:dyDescent="0.2">
      <c r="A32" s="7" t="s">
        <v>411</v>
      </c>
      <c r="B32" s="8">
        <v>1655</v>
      </c>
      <c r="C32" s="8">
        <v>1500</v>
      </c>
      <c r="D32" s="8">
        <v>2977</v>
      </c>
      <c r="E32" s="11">
        <v>211</v>
      </c>
    </row>
    <row r="33" spans="1:5" ht="15" x14ac:dyDescent="0.2">
      <c r="A33" s="5" t="s">
        <v>412</v>
      </c>
      <c r="B33" s="6">
        <v>214</v>
      </c>
      <c r="C33" s="6">
        <v>174</v>
      </c>
      <c r="D33" s="6">
        <v>156</v>
      </c>
      <c r="E33" s="11">
        <v>212</v>
      </c>
    </row>
    <row r="34" spans="1:5" ht="15" x14ac:dyDescent="0.2">
      <c r="A34" s="7" t="s">
        <v>413</v>
      </c>
      <c r="B34" s="8">
        <v>773</v>
      </c>
      <c r="C34" s="8">
        <v>620</v>
      </c>
      <c r="D34" s="8">
        <v>508</v>
      </c>
      <c r="E34" s="11">
        <v>213</v>
      </c>
    </row>
    <row r="35" spans="1:5" ht="15" x14ac:dyDescent="0.2">
      <c r="A35" s="5" t="s">
        <v>414</v>
      </c>
      <c r="B35" s="6">
        <v>310</v>
      </c>
      <c r="C35" s="6">
        <v>220</v>
      </c>
      <c r="D35" s="6">
        <v>199</v>
      </c>
      <c r="E35" s="11">
        <v>214</v>
      </c>
    </row>
    <row r="36" spans="1:5" ht="15" x14ac:dyDescent="0.2">
      <c r="A36" s="7" t="s">
        <v>415</v>
      </c>
      <c r="B36" s="8">
        <v>745</v>
      </c>
      <c r="C36" s="8">
        <v>508</v>
      </c>
      <c r="D36" s="8">
        <v>476</v>
      </c>
      <c r="E36" s="11">
        <v>301</v>
      </c>
    </row>
    <row r="37" spans="1:5" ht="15" x14ac:dyDescent="0.2">
      <c r="A37" s="5" t="s">
        <v>416</v>
      </c>
      <c r="B37" s="6">
        <v>3712</v>
      </c>
      <c r="C37" s="6">
        <v>2913</v>
      </c>
      <c r="D37" s="6">
        <v>2726</v>
      </c>
      <c r="E37" s="11">
        <v>302</v>
      </c>
    </row>
    <row r="38" spans="1:5" ht="15" x14ac:dyDescent="0.2">
      <c r="A38" s="7" t="s">
        <v>417</v>
      </c>
      <c r="B38" s="8">
        <v>8027</v>
      </c>
      <c r="C38" s="8">
        <v>6163</v>
      </c>
      <c r="D38" s="8">
        <v>5974</v>
      </c>
      <c r="E38" s="11">
        <v>303</v>
      </c>
    </row>
    <row r="39" spans="1:5" ht="15" x14ac:dyDescent="0.2">
      <c r="A39" s="5" t="s">
        <v>418</v>
      </c>
      <c r="B39" s="6">
        <v>559</v>
      </c>
      <c r="C39" s="6">
        <v>369</v>
      </c>
      <c r="D39" s="6">
        <v>396</v>
      </c>
      <c r="E39" s="11">
        <v>304</v>
      </c>
    </row>
    <row r="40" spans="1:5" ht="15" x14ac:dyDescent="0.2">
      <c r="A40" s="7" t="s">
        <v>419</v>
      </c>
      <c r="B40" s="8">
        <v>591</v>
      </c>
      <c r="C40" s="8">
        <v>435</v>
      </c>
      <c r="D40" s="8">
        <v>386</v>
      </c>
      <c r="E40" s="11">
        <v>305</v>
      </c>
    </row>
    <row r="41" spans="1:5" ht="15" x14ac:dyDescent="0.2">
      <c r="A41" s="5" t="s">
        <v>420</v>
      </c>
      <c r="B41" s="6">
        <v>1164</v>
      </c>
      <c r="C41" s="6">
        <v>866</v>
      </c>
      <c r="D41" s="6">
        <v>817</v>
      </c>
      <c r="E41" s="11">
        <v>306</v>
      </c>
    </row>
    <row r="42" spans="1:5" ht="15" x14ac:dyDescent="0.2">
      <c r="A42" s="7" t="s">
        <v>421</v>
      </c>
      <c r="B42" s="8">
        <v>1985</v>
      </c>
      <c r="C42" s="8">
        <v>2102</v>
      </c>
      <c r="D42" s="8">
        <v>1872</v>
      </c>
      <c r="E42" s="11">
        <v>307</v>
      </c>
    </row>
    <row r="43" spans="1:5" ht="15" x14ac:dyDescent="0.2">
      <c r="A43" s="5" t="s">
        <v>422</v>
      </c>
      <c r="B43" s="6">
        <v>7788</v>
      </c>
      <c r="C43" s="6">
        <v>7139</v>
      </c>
      <c r="D43" s="6">
        <v>6252</v>
      </c>
      <c r="E43" s="11">
        <v>308</v>
      </c>
    </row>
    <row r="44" spans="1:5" ht="15" x14ac:dyDescent="0.2">
      <c r="A44" s="7" t="s">
        <v>423</v>
      </c>
      <c r="B44" s="8">
        <v>771</v>
      </c>
      <c r="C44" s="8">
        <v>721</v>
      </c>
      <c r="D44" s="8">
        <v>573</v>
      </c>
      <c r="E44" s="11">
        <v>309</v>
      </c>
    </row>
    <row r="45" spans="1:5" ht="15" x14ac:dyDescent="0.2">
      <c r="A45" s="5" t="s">
        <v>424</v>
      </c>
      <c r="B45" s="6">
        <v>357</v>
      </c>
      <c r="C45" s="6">
        <v>303</v>
      </c>
      <c r="D45" s="6">
        <v>268</v>
      </c>
      <c r="E45" s="11">
        <v>310</v>
      </c>
    </row>
    <row r="46" spans="1:5" ht="15" x14ac:dyDescent="0.2">
      <c r="A46" s="7" t="s">
        <v>425</v>
      </c>
      <c r="B46" s="8">
        <v>611</v>
      </c>
      <c r="C46" s="8">
        <v>447</v>
      </c>
      <c r="D46" s="8">
        <v>356</v>
      </c>
      <c r="E46" s="11">
        <v>311</v>
      </c>
    </row>
    <row r="47" spans="1:5" ht="15" x14ac:dyDescent="0.2">
      <c r="A47" s="5" t="s">
        <v>426</v>
      </c>
      <c r="B47" s="6">
        <v>6156</v>
      </c>
      <c r="C47" s="6">
        <v>5029</v>
      </c>
      <c r="D47" s="6">
        <v>4484</v>
      </c>
      <c r="E47" s="11">
        <v>312</v>
      </c>
    </row>
    <row r="48" spans="1:5" ht="15" x14ac:dyDescent="0.2">
      <c r="A48" s="7" t="s">
        <v>427</v>
      </c>
      <c r="B48" s="8">
        <v>1535</v>
      </c>
      <c r="C48" s="8">
        <v>1108</v>
      </c>
      <c r="D48" s="8">
        <v>1023</v>
      </c>
      <c r="E48" s="11">
        <v>313</v>
      </c>
    </row>
    <row r="49" spans="1:5" ht="15" x14ac:dyDescent="0.2">
      <c r="A49" s="5" t="s">
        <v>428</v>
      </c>
      <c r="B49" s="6">
        <v>1012</v>
      </c>
      <c r="C49" s="6">
        <v>1130</v>
      </c>
      <c r="D49" s="6">
        <v>970</v>
      </c>
      <c r="E49" s="11">
        <v>314</v>
      </c>
    </row>
    <row r="50" spans="1:5" ht="15" x14ac:dyDescent="0.2">
      <c r="A50" s="9" t="s">
        <v>429</v>
      </c>
      <c r="B50" s="8">
        <v>243</v>
      </c>
      <c r="C50" s="8">
        <v>132</v>
      </c>
      <c r="D50" s="8">
        <v>102</v>
      </c>
      <c r="E50" s="11">
        <v>401</v>
      </c>
    </row>
    <row r="51" spans="1:5" ht="15" x14ac:dyDescent="0.2">
      <c r="A51" s="10" t="s">
        <v>430</v>
      </c>
      <c r="B51" s="6">
        <v>1149</v>
      </c>
      <c r="C51" s="6">
        <v>782</v>
      </c>
      <c r="D51" s="6">
        <v>709</v>
      </c>
      <c r="E51" s="11">
        <v>402</v>
      </c>
    </row>
    <row r="52" spans="1:5" ht="15" x14ac:dyDescent="0.2">
      <c r="A52" s="7" t="s">
        <v>431</v>
      </c>
      <c r="B52" s="8">
        <v>168</v>
      </c>
      <c r="C52" s="8">
        <v>129</v>
      </c>
      <c r="D52" s="8">
        <v>99</v>
      </c>
      <c r="E52" s="11">
        <v>403</v>
      </c>
    </row>
    <row r="53" spans="1:5" ht="15" x14ac:dyDescent="0.2">
      <c r="A53" s="5" t="s">
        <v>432</v>
      </c>
      <c r="B53" s="6">
        <v>86</v>
      </c>
      <c r="C53" s="6">
        <v>60</v>
      </c>
      <c r="D53" s="6">
        <v>44</v>
      </c>
      <c r="E53" s="11">
        <v>404</v>
      </c>
    </row>
    <row r="54" spans="1:5" ht="15" x14ac:dyDescent="0.2">
      <c r="A54" s="9" t="s">
        <v>433</v>
      </c>
      <c r="B54" s="8">
        <v>499</v>
      </c>
      <c r="C54" s="8">
        <v>358</v>
      </c>
      <c r="D54" s="8">
        <v>239</v>
      </c>
      <c r="E54" s="11">
        <v>405</v>
      </c>
    </row>
    <row r="55" spans="1:5" ht="15" x14ac:dyDescent="0.2">
      <c r="A55" s="10" t="s">
        <v>434</v>
      </c>
      <c r="B55" s="6">
        <v>137</v>
      </c>
      <c r="C55" s="6">
        <v>84</v>
      </c>
      <c r="D55" s="6">
        <v>73</v>
      </c>
      <c r="E55" s="11">
        <v>406</v>
      </c>
    </row>
    <row r="56" spans="1:5" ht="15" x14ac:dyDescent="0.2">
      <c r="A56" s="9" t="s">
        <v>435</v>
      </c>
      <c r="B56" s="8">
        <v>832</v>
      </c>
      <c r="C56" s="8">
        <v>656</v>
      </c>
      <c r="D56" s="8">
        <v>517</v>
      </c>
      <c r="E56" s="11">
        <v>407</v>
      </c>
    </row>
    <row r="57" spans="1:5" ht="15" x14ac:dyDescent="0.2">
      <c r="A57" s="10" t="s">
        <v>436</v>
      </c>
      <c r="B57" s="6">
        <v>271</v>
      </c>
      <c r="C57" s="6">
        <v>152</v>
      </c>
      <c r="D57" s="6">
        <v>122</v>
      </c>
      <c r="E57" s="11">
        <v>408</v>
      </c>
    </row>
    <row r="58" spans="1:5" ht="15" x14ac:dyDescent="0.2">
      <c r="A58" s="7" t="s">
        <v>437</v>
      </c>
      <c r="B58" s="8">
        <v>299</v>
      </c>
      <c r="C58" s="8">
        <v>187</v>
      </c>
      <c r="D58" s="8">
        <v>156</v>
      </c>
      <c r="E58" s="11">
        <v>409</v>
      </c>
    </row>
    <row r="59" spans="1:5" ht="15" x14ac:dyDescent="0.2">
      <c r="A59" s="10" t="s">
        <v>438</v>
      </c>
      <c r="B59" s="6">
        <v>212</v>
      </c>
      <c r="C59" s="6">
        <v>150</v>
      </c>
      <c r="D59" s="6">
        <v>124</v>
      </c>
      <c r="E59" s="11">
        <v>410</v>
      </c>
    </row>
    <row r="60" spans="1:5" ht="15" x14ac:dyDescent="0.2">
      <c r="A60" s="9" t="s">
        <v>439</v>
      </c>
      <c r="B60" s="8">
        <v>93</v>
      </c>
      <c r="C60" s="8">
        <v>45</v>
      </c>
      <c r="D60" s="8">
        <v>45</v>
      </c>
      <c r="E60" s="11">
        <v>411</v>
      </c>
    </row>
    <row r="61" spans="1:5" ht="15" x14ac:dyDescent="0.2">
      <c r="A61" s="10" t="s">
        <v>440</v>
      </c>
      <c r="B61" s="6">
        <v>210</v>
      </c>
      <c r="C61" s="6">
        <v>128</v>
      </c>
      <c r="D61" s="6">
        <v>107</v>
      </c>
      <c r="E61" s="11">
        <v>412</v>
      </c>
    </row>
    <row r="62" spans="1:5" ht="15" x14ac:dyDescent="0.2">
      <c r="A62" s="7" t="s">
        <v>441</v>
      </c>
      <c r="B62" s="8">
        <v>254</v>
      </c>
      <c r="C62" s="8">
        <v>202</v>
      </c>
      <c r="D62" s="8">
        <v>184</v>
      </c>
      <c r="E62" s="11">
        <v>501</v>
      </c>
    </row>
    <row r="63" spans="1:5" ht="15" x14ac:dyDescent="0.2">
      <c r="A63" s="5" t="s">
        <v>442</v>
      </c>
      <c r="B63" s="6">
        <v>2109</v>
      </c>
      <c r="C63" s="6">
        <v>1622</v>
      </c>
      <c r="D63" s="6">
        <v>1641</v>
      </c>
      <c r="E63" s="11">
        <v>502</v>
      </c>
    </row>
    <row r="64" spans="1:5" ht="15" x14ac:dyDescent="0.2">
      <c r="A64" s="7" t="s">
        <v>443</v>
      </c>
      <c r="B64" s="8">
        <v>2083</v>
      </c>
      <c r="C64" s="8">
        <v>1398</v>
      </c>
      <c r="D64" s="8">
        <v>1202</v>
      </c>
      <c r="E64" s="11">
        <v>503</v>
      </c>
    </row>
    <row r="65" spans="1:5" ht="15" x14ac:dyDescent="0.2">
      <c r="A65" s="5" t="s">
        <v>444</v>
      </c>
      <c r="B65" s="6">
        <v>1150</v>
      </c>
      <c r="C65" s="6">
        <v>715</v>
      </c>
      <c r="D65" s="6">
        <v>607</v>
      </c>
      <c r="E65" s="11">
        <v>504</v>
      </c>
    </row>
    <row r="66" spans="1:5" ht="15" x14ac:dyDescent="0.2">
      <c r="A66" s="7" t="s">
        <v>445</v>
      </c>
      <c r="B66" s="8">
        <v>298</v>
      </c>
      <c r="C66" s="8">
        <v>189</v>
      </c>
      <c r="D66" s="8">
        <v>177</v>
      </c>
      <c r="E66" s="11">
        <v>505</v>
      </c>
    </row>
    <row r="67" spans="1:5" ht="15" x14ac:dyDescent="0.2">
      <c r="A67" s="5" t="s">
        <v>446</v>
      </c>
      <c r="B67" s="6">
        <v>96</v>
      </c>
      <c r="C67" s="6">
        <v>52</v>
      </c>
      <c r="D67" s="6">
        <v>41</v>
      </c>
      <c r="E67" s="11">
        <v>506</v>
      </c>
    </row>
    <row r="68" spans="1:5" ht="15" x14ac:dyDescent="0.2">
      <c r="A68" s="7" t="s">
        <v>447</v>
      </c>
      <c r="B68" s="8">
        <v>112</v>
      </c>
      <c r="C68" s="8">
        <v>106</v>
      </c>
      <c r="D68" s="8">
        <v>74</v>
      </c>
      <c r="E68" s="11">
        <v>507</v>
      </c>
    </row>
    <row r="69" spans="1:5" ht="15" x14ac:dyDescent="0.2">
      <c r="A69" s="5" t="s">
        <v>448</v>
      </c>
      <c r="B69" s="6">
        <v>202</v>
      </c>
      <c r="C69" s="6">
        <v>143</v>
      </c>
      <c r="D69" s="6">
        <v>119</v>
      </c>
      <c r="E69" s="11">
        <v>508</v>
      </c>
    </row>
    <row r="70" spans="1:5" ht="15" x14ac:dyDescent="0.2">
      <c r="A70" s="7" t="s">
        <v>449</v>
      </c>
      <c r="B70" s="8">
        <v>417</v>
      </c>
      <c r="C70" s="8">
        <v>281</v>
      </c>
      <c r="D70" s="8">
        <v>239</v>
      </c>
      <c r="E70" s="11">
        <v>509</v>
      </c>
    </row>
    <row r="71" spans="1:5" ht="15" x14ac:dyDescent="0.2">
      <c r="A71" s="5" t="s">
        <v>450</v>
      </c>
      <c r="B71" s="6">
        <v>76</v>
      </c>
      <c r="C71" s="6">
        <v>55</v>
      </c>
      <c r="D71" s="6">
        <v>65</v>
      </c>
      <c r="E71" s="11">
        <v>510</v>
      </c>
    </row>
    <row r="72" spans="1:5" ht="15" x14ac:dyDescent="0.2">
      <c r="A72" s="7" t="s">
        <v>451</v>
      </c>
      <c r="B72" s="8">
        <v>79</v>
      </c>
      <c r="C72" s="8">
        <v>65</v>
      </c>
      <c r="D72" s="8">
        <v>73</v>
      </c>
      <c r="E72" s="11">
        <v>511</v>
      </c>
    </row>
    <row r="73" spans="1:5" ht="15" x14ac:dyDescent="0.2">
      <c r="A73" s="10" t="s">
        <v>452</v>
      </c>
      <c r="B73" s="6">
        <v>476</v>
      </c>
      <c r="C73" s="6">
        <v>238</v>
      </c>
      <c r="D73" s="6">
        <v>212</v>
      </c>
      <c r="E73" s="11">
        <v>601</v>
      </c>
    </row>
    <row r="74" spans="1:5" ht="15" x14ac:dyDescent="0.2">
      <c r="A74" s="9" t="s">
        <v>453</v>
      </c>
      <c r="B74" s="8">
        <v>1191</v>
      </c>
      <c r="C74" s="8">
        <v>946</v>
      </c>
      <c r="D74" s="8">
        <v>867</v>
      </c>
      <c r="E74" s="11">
        <v>602</v>
      </c>
    </row>
    <row r="75" spans="1:5" ht="15" x14ac:dyDescent="0.2">
      <c r="A75" s="10" t="s">
        <v>454</v>
      </c>
      <c r="B75" s="6">
        <v>5309</v>
      </c>
      <c r="C75" s="6">
        <v>3866</v>
      </c>
      <c r="D75" s="6">
        <v>3600</v>
      </c>
      <c r="E75" s="11">
        <v>603</v>
      </c>
    </row>
    <row r="76" spans="1:5" ht="15" x14ac:dyDescent="0.2">
      <c r="A76" s="9" t="s">
        <v>455</v>
      </c>
      <c r="B76" s="8">
        <v>619</v>
      </c>
      <c r="C76" s="8">
        <v>466</v>
      </c>
      <c r="D76" s="8">
        <v>418</v>
      </c>
      <c r="E76" s="11">
        <v>604</v>
      </c>
    </row>
    <row r="77" spans="1:5" ht="15" x14ac:dyDescent="0.2">
      <c r="A77" s="10" t="s">
        <v>456</v>
      </c>
      <c r="B77" s="6">
        <v>2718</v>
      </c>
      <c r="C77" s="6">
        <v>2089</v>
      </c>
      <c r="D77" s="6">
        <v>1944</v>
      </c>
      <c r="E77" s="11">
        <v>605</v>
      </c>
    </row>
    <row r="78" spans="1:5" ht="15" x14ac:dyDescent="0.2">
      <c r="A78" s="9" t="s">
        <v>457</v>
      </c>
      <c r="B78" s="8">
        <v>129</v>
      </c>
      <c r="C78" s="8">
        <v>85</v>
      </c>
      <c r="D78" s="8">
        <v>60</v>
      </c>
      <c r="E78" s="11">
        <v>606</v>
      </c>
    </row>
    <row r="79" spans="1:5" ht="15" x14ac:dyDescent="0.2">
      <c r="A79" s="10" t="s">
        <v>458</v>
      </c>
      <c r="B79" s="6">
        <v>697</v>
      </c>
      <c r="C79" s="6">
        <v>460</v>
      </c>
      <c r="D79" s="6">
        <v>404</v>
      </c>
      <c r="E79" s="11">
        <v>607</v>
      </c>
    </row>
    <row r="80" spans="1:5" ht="15" x14ac:dyDescent="0.2">
      <c r="A80" s="9" t="s">
        <v>459</v>
      </c>
      <c r="B80" s="8">
        <v>444</v>
      </c>
      <c r="C80" s="8">
        <v>389</v>
      </c>
      <c r="D80" s="8">
        <v>293</v>
      </c>
      <c r="E80" s="11">
        <v>608</v>
      </c>
    </row>
    <row r="81" spans="1:5" ht="15" x14ac:dyDescent="0.2">
      <c r="A81" s="10" t="s">
        <v>460</v>
      </c>
      <c r="B81" s="6">
        <v>469</v>
      </c>
      <c r="C81" s="6">
        <v>288</v>
      </c>
      <c r="D81" s="6">
        <v>248</v>
      </c>
      <c r="E81" s="11">
        <v>609</v>
      </c>
    </row>
    <row r="82" spans="1:5" ht="15" x14ac:dyDescent="0.2">
      <c r="A82" s="9" t="s">
        <v>461</v>
      </c>
      <c r="B82" s="8">
        <v>1150</v>
      </c>
      <c r="C82" s="8">
        <v>785</v>
      </c>
      <c r="D82" s="8">
        <v>658</v>
      </c>
      <c r="E82" s="11">
        <v>610</v>
      </c>
    </row>
    <row r="83" spans="1:5" ht="15" x14ac:dyDescent="0.2">
      <c r="A83" s="10" t="s">
        <v>462</v>
      </c>
      <c r="B83" s="6">
        <v>734</v>
      </c>
      <c r="C83" s="6">
        <v>495</v>
      </c>
      <c r="D83" s="6">
        <v>521</v>
      </c>
      <c r="E83" s="11">
        <v>611</v>
      </c>
    </row>
    <row r="84" spans="1:5" ht="15" x14ac:dyDescent="0.2">
      <c r="A84" s="9" t="s">
        <v>463</v>
      </c>
      <c r="B84" s="8">
        <v>78</v>
      </c>
      <c r="C84" s="8">
        <v>43</v>
      </c>
      <c r="D84" s="8">
        <v>43</v>
      </c>
      <c r="E84" s="11">
        <v>612</v>
      </c>
    </row>
    <row r="85" spans="1:5" ht="15" x14ac:dyDescent="0.2">
      <c r="A85" s="10" t="s">
        <v>464</v>
      </c>
      <c r="B85" s="6">
        <v>462</v>
      </c>
      <c r="C85" s="6">
        <v>303</v>
      </c>
      <c r="D85" s="6">
        <v>229</v>
      </c>
      <c r="E85" s="11">
        <v>613</v>
      </c>
    </row>
    <row r="86" spans="1:5" ht="15" x14ac:dyDescent="0.2">
      <c r="A86" s="9" t="s">
        <v>465</v>
      </c>
      <c r="B86" s="8">
        <v>144</v>
      </c>
      <c r="C86" s="8">
        <v>68</v>
      </c>
      <c r="D86" s="8">
        <v>79</v>
      </c>
      <c r="E86" s="11">
        <v>614</v>
      </c>
    </row>
    <row r="87" spans="1:5" ht="15" x14ac:dyDescent="0.2">
      <c r="A87" s="10" t="s">
        <v>466</v>
      </c>
      <c r="B87" s="6">
        <v>517</v>
      </c>
      <c r="C87" s="6">
        <v>398</v>
      </c>
      <c r="D87" s="6">
        <v>338</v>
      </c>
      <c r="E87" s="11">
        <v>615</v>
      </c>
    </row>
    <row r="88" spans="1:5" ht="15" x14ac:dyDescent="0.2">
      <c r="A88" s="9" t="s">
        <v>467</v>
      </c>
      <c r="B88" s="8">
        <v>378</v>
      </c>
      <c r="C88" s="8">
        <v>274</v>
      </c>
      <c r="D88" s="8">
        <v>237</v>
      </c>
      <c r="E88" s="11">
        <v>616</v>
      </c>
    </row>
    <row r="89" spans="1:5" ht="15" x14ac:dyDescent="0.2">
      <c r="A89" s="10" t="s">
        <v>468</v>
      </c>
      <c r="B89" s="6">
        <v>254</v>
      </c>
      <c r="C89" s="6">
        <v>187</v>
      </c>
      <c r="D89" s="6">
        <v>156</v>
      </c>
      <c r="E89" s="11">
        <v>617</v>
      </c>
    </row>
    <row r="90" spans="1:5" ht="15" x14ac:dyDescent="0.2">
      <c r="A90" s="7" t="s">
        <v>469</v>
      </c>
      <c r="B90" s="8">
        <v>326</v>
      </c>
      <c r="C90" s="8">
        <v>216</v>
      </c>
      <c r="D90" s="8">
        <v>135</v>
      </c>
      <c r="E90" s="11">
        <v>701</v>
      </c>
    </row>
    <row r="91" spans="1:5" ht="15" x14ac:dyDescent="0.2">
      <c r="A91" s="5" t="s">
        <v>470</v>
      </c>
      <c r="B91" s="6">
        <v>315</v>
      </c>
      <c r="C91" s="6">
        <v>159</v>
      </c>
      <c r="D91" s="6">
        <v>155</v>
      </c>
      <c r="E91" s="11">
        <v>702</v>
      </c>
    </row>
    <row r="92" spans="1:5" ht="15" x14ac:dyDescent="0.2">
      <c r="A92" s="7" t="s">
        <v>471</v>
      </c>
      <c r="B92" s="8">
        <v>339</v>
      </c>
      <c r="C92" s="8">
        <v>250</v>
      </c>
      <c r="D92" s="8">
        <v>227</v>
      </c>
      <c r="E92" s="11">
        <v>703</v>
      </c>
    </row>
    <row r="93" spans="1:5" ht="15" x14ac:dyDescent="0.2">
      <c r="A93" s="5" t="s">
        <v>472</v>
      </c>
      <c r="B93" s="6">
        <v>621</v>
      </c>
      <c r="C93" s="6">
        <v>344</v>
      </c>
      <c r="D93" s="6">
        <v>287</v>
      </c>
      <c r="E93" s="11">
        <v>704</v>
      </c>
    </row>
    <row r="94" spans="1:5" ht="15" x14ac:dyDescent="0.2">
      <c r="A94" s="7" t="s">
        <v>473</v>
      </c>
      <c r="B94" s="8">
        <v>2285</v>
      </c>
      <c r="C94" s="8">
        <v>1518</v>
      </c>
      <c r="D94" s="8">
        <v>1403</v>
      </c>
      <c r="E94" s="11">
        <v>705</v>
      </c>
    </row>
    <row r="95" spans="1:5" ht="15" x14ac:dyDescent="0.2">
      <c r="A95" s="5" t="s">
        <v>474</v>
      </c>
      <c r="B95" s="6">
        <v>650</v>
      </c>
      <c r="C95" s="6">
        <v>392</v>
      </c>
      <c r="D95" s="6">
        <v>322</v>
      </c>
      <c r="E95" s="11">
        <v>706</v>
      </c>
    </row>
    <row r="96" spans="1:5" ht="15" x14ac:dyDescent="0.2">
      <c r="A96" s="7" t="s">
        <v>475</v>
      </c>
      <c r="B96" s="8">
        <v>199</v>
      </c>
      <c r="C96" s="8">
        <v>122</v>
      </c>
      <c r="D96" s="8">
        <v>82</v>
      </c>
      <c r="E96" s="11">
        <v>707</v>
      </c>
    </row>
    <row r="97" spans="1:5" ht="15" x14ac:dyDescent="0.2">
      <c r="A97" s="5" t="s">
        <v>476</v>
      </c>
      <c r="B97" s="6">
        <v>120</v>
      </c>
      <c r="C97" s="6">
        <v>120</v>
      </c>
      <c r="D97" s="6">
        <v>95</v>
      </c>
      <c r="E97" s="11">
        <v>708</v>
      </c>
    </row>
    <row r="98" spans="1:5" ht="15" x14ac:dyDescent="0.2">
      <c r="A98" s="7" t="s">
        <v>477</v>
      </c>
      <c r="B98" s="8">
        <v>405</v>
      </c>
      <c r="C98" s="8">
        <v>271</v>
      </c>
      <c r="D98" s="8">
        <v>224</v>
      </c>
      <c r="E98" s="11">
        <v>709</v>
      </c>
    </row>
    <row r="99" spans="1:5" ht="15" x14ac:dyDescent="0.2">
      <c r="A99" s="5" t="s">
        <v>478</v>
      </c>
      <c r="B99" s="6">
        <v>378</v>
      </c>
      <c r="C99" s="6">
        <v>303</v>
      </c>
      <c r="D99" s="6">
        <v>242</v>
      </c>
      <c r="E99" s="11">
        <v>710</v>
      </c>
    </row>
    <row r="100" spans="1:5" ht="15" x14ac:dyDescent="0.2">
      <c r="A100" s="7" t="s">
        <v>479</v>
      </c>
      <c r="B100" s="8">
        <v>576</v>
      </c>
      <c r="C100" s="8">
        <v>373</v>
      </c>
      <c r="D100" s="8">
        <v>325</v>
      </c>
      <c r="E100" s="11">
        <v>711</v>
      </c>
    </row>
    <row r="101" spans="1:5" ht="15" x14ac:dyDescent="0.2">
      <c r="A101" s="5" t="s">
        <v>480</v>
      </c>
      <c r="B101" s="6">
        <v>534</v>
      </c>
      <c r="C101" s="6">
        <v>315</v>
      </c>
      <c r="D101" s="6">
        <v>295</v>
      </c>
      <c r="E101" s="11">
        <v>712</v>
      </c>
    </row>
    <row r="102" spans="1:5" ht="15" x14ac:dyDescent="0.2">
      <c r="A102" s="7" t="s">
        <v>481</v>
      </c>
      <c r="B102" s="8">
        <v>229</v>
      </c>
      <c r="C102" s="8">
        <v>159</v>
      </c>
      <c r="D102" s="8">
        <v>122</v>
      </c>
      <c r="E102" s="11">
        <v>713</v>
      </c>
    </row>
    <row r="103" spans="1:5" ht="15" x14ac:dyDescent="0.2">
      <c r="A103" s="5" t="s">
        <v>482</v>
      </c>
      <c r="B103" s="6">
        <v>362</v>
      </c>
      <c r="C103" s="6">
        <v>251</v>
      </c>
      <c r="D103" s="6">
        <v>195</v>
      </c>
      <c r="E103" s="11">
        <v>714</v>
      </c>
    </row>
    <row r="104" spans="1:5" ht="15" x14ac:dyDescent="0.2">
      <c r="A104" s="7" t="s">
        <v>483</v>
      </c>
      <c r="B104" s="8">
        <v>5304</v>
      </c>
      <c r="C104" s="8">
        <v>5453</v>
      </c>
      <c r="D104" s="8">
        <v>5541</v>
      </c>
      <c r="E104" s="11">
        <v>801</v>
      </c>
    </row>
    <row r="105" spans="1:5" ht="15" x14ac:dyDescent="0.2">
      <c r="A105" s="5" t="s">
        <v>484</v>
      </c>
      <c r="B105" s="6">
        <v>71</v>
      </c>
      <c r="C105" s="6">
        <v>35</v>
      </c>
      <c r="D105" s="6">
        <v>37</v>
      </c>
      <c r="E105" s="11">
        <v>802</v>
      </c>
    </row>
    <row r="106" spans="1:5" ht="15" x14ac:dyDescent="0.2">
      <c r="A106" s="7" t="s">
        <v>485</v>
      </c>
      <c r="B106" s="8">
        <v>203</v>
      </c>
      <c r="C106" s="8">
        <v>197</v>
      </c>
      <c r="D106" s="8">
        <v>186</v>
      </c>
      <c r="E106" s="11">
        <v>803</v>
      </c>
    </row>
    <row r="107" spans="1:5" ht="15" x14ac:dyDescent="0.2">
      <c r="A107" s="5" t="s">
        <v>486</v>
      </c>
      <c r="B107" s="6">
        <v>306</v>
      </c>
      <c r="C107" s="6">
        <v>248</v>
      </c>
      <c r="D107" s="6">
        <v>253</v>
      </c>
      <c r="E107" s="11">
        <v>804</v>
      </c>
    </row>
    <row r="108" spans="1:5" ht="15" x14ac:dyDescent="0.2">
      <c r="A108" s="7" t="s">
        <v>487</v>
      </c>
      <c r="B108" s="8">
        <v>3125</v>
      </c>
      <c r="C108" s="8">
        <v>2346</v>
      </c>
      <c r="D108" s="8">
        <v>2356</v>
      </c>
      <c r="E108" s="11">
        <v>805</v>
      </c>
    </row>
    <row r="109" spans="1:5" ht="15" x14ac:dyDescent="0.2">
      <c r="A109" s="5" t="s">
        <v>488</v>
      </c>
      <c r="B109" s="6">
        <v>1775</v>
      </c>
      <c r="C109" s="6">
        <v>1540</v>
      </c>
      <c r="D109" s="6">
        <v>1343</v>
      </c>
      <c r="E109" s="11">
        <v>806</v>
      </c>
    </row>
    <row r="110" spans="1:5" ht="15" x14ac:dyDescent="0.2">
      <c r="A110" s="7" t="s">
        <v>489</v>
      </c>
      <c r="B110" s="8">
        <v>2092</v>
      </c>
      <c r="C110" s="8">
        <v>1835</v>
      </c>
      <c r="D110" s="8">
        <v>1592</v>
      </c>
      <c r="E110" s="11">
        <v>807</v>
      </c>
    </row>
    <row r="111" spans="1:5" ht="15" x14ac:dyDescent="0.2">
      <c r="A111" s="5" t="s">
        <v>490</v>
      </c>
      <c r="B111" s="6">
        <v>4445</v>
      </c>
      <c r="C111" s="6">
        <v>3659</v>
      </c>
      <c r="D111" s="6">
        <v>3673</v>
      </c>
      <c r="E111" s="11">
        <v>808</v>
      </c>
    </row>
    <row r="112" spans="1:5" ht="15" x14ac:dyDescent="0.2">
      <c r="A112" s="7" t="s">
        <v>491</v>
      </c>
      <c r="B112" s="8">
        <v>247</v>
      </c>
      <c r="C112" s="8">
        <v>181</v>
      </c>
      <c r="D112" s="8">
        <v>116</v>
      </c>
      <c r="E112" s="11">
        <v>809</v>
      </c>
    </row>
    <row r="113" spans="1:5" ht="15" x14ac:dyDescent="0.2">
      <c r="A113" s="5" t="s">
        <v>492</v>
      </c>
      <c r="B113" s="6">
        <v>2192</v>
      </c>
      <c r="C113" s="6">
        <v>1582</v>
      </c>
      <c r="D113" s="6">
        <v>1513</v>
      </c>
      <c r="E113" s="11">
        <v>810</v>
      </c>
    </row>
    <row r="114" spans="1:5" ht="15" x14ac:dyDescent="0.2">
      <c r="A114" s="7" t="s">
        <v>493</v>
      </c>
      <c r="B114" s="8">
        <v>4620</v>
      </c>
      <c r="C114" s="8">
        <v>4293</v>
      </c>
      <c r="D114" s="8">
        <v>4022</v>
      </c>
      <c r="E114" s="11">
        <v>811</v>
      </c>
    </row>
    <row r="115" spans="1:5" ht="15" x14ac:dyDescent="0.2">
      <c r="A115" s="5" t="s">
        <v>494</v>
      </c>
      <c r="B115" s="6">
        <v>373</v>
      </c>
      <c r="C115" s="6">
        <v>275</v>
      </c>
      <c r="D115" s="6">
        <v>254</v>
      </c>
      <c r="E115" s="11">
        <v>812</v>
      </c>
    </row>
    <row r="116" spans="1:5" ht="15" x14ac:dyDescent="0.2">
      <c r="A116" s="7" t="s">
        <v>495</v>
      </c>
      <c r="B116" s="8">
        <v>2511</v>
      </c>
      <c r="C116" s="8">
        <v>2202</v>
      </c>
      <c r="D116" s="8">
        <v>2269</v>
      </c>
      <c r="E116" s="11">
        <v>813</v>
      </c>
    </row>
    <row r="117" spans="1:5" ht="15" x14ac:dyDescent="0.2">
      <c r="A117" s="5" t="s">
        <v>496</v>
      </c>
      <c r="B117" s="6">
        <v>1325</v>
      </c>
      <c r="C117" s="6">
        <v>959</v>
      </c>
      <c r="D117" s="6">
        <v>922</v>
      </c>
      <c r="E117" s="11">
        <v>814</v>
      </c>
    </row>
    <row r="118" spans="1:5" ht="15" x14ac:dyDescent="0.2">
      <c r="A118" s="7" t="s">
        <v>497</v>
      </c>
      <c r="B118" s="8">
        <v>357</v>
      </c>
      <c r="C118" s="8">
        <v>321</v>
      </c>
      <c r="D118" s="8">
        <v>277</v>
      </c>
      <c r="E118" s="11">
        <v>815</v>
      </c>
    </row>
    <row r="119" spans="1:5" ht="15" x14ac:dyDescent="0.2">
      <c r="A119" s="5" t="s">
        <v>498</v>
      </c>
      <c r="B119" s="6">
        <v>1377</v>
      </c>
      <c r="C119" s="6">
        <v>1025</v>
      </c>
      <c r="D119" s="6">
        <v>1014</v>
      </c>
      <c r="E119" s="11">
        <v>816</v>
      </c>
    </row>
    <row r="120" spans="1:5" ht="15" x14ac:dyDescent="0.2">
      <c r="A120" s="7" t="s">
        <v>499</v>
      </c>
      <c r="B120" s="8">
        <v>168</v>
      </c>
      <c r="C120" s="8">
        <v>129</v>
      </c>
      <c r="D120" s="8">
        <v>87</v>
      </c>
      <c r="E120" s="11">
        <v>901</v>
      </c>
    </row>
    <row r="121" spans="1:5" ht="15" x14ac:dyDescent="0.2">
      <c r="A121" s="5" t="s">
        <v>500</v>
      </c>
      <c r="B121" s="6">
        <v>155</v>
      </c>
      <c r="C121" s="6">
        <v>99</v>
      </c>
      <c r="D121" s="6">
        <v>95</v>
      </c>
      <c r="E121" s="11">
        <v>902</v>
      </c>
    </row>
    <row r="122" spans="1:5" ht="15" x14ac:dyDescent="0.2">
      <c r="A122" s="7" t="s">
        <v>501</v>
      </c>
      <c r="B122" s="8">
        <v>236</v>
      </c>
      <c r="C122" s="8">
        <v>152</v>
      </c>
      <c r="D122" s="8">
        <v>167</v>
      </c>
      <c r="E122" s="11">
        <v>903</v>
      </c>
    </row>
    <row r="123" spans="1:5" ht="15" x14ac:dyDescent="0.2">
      <c r="A123" s="5" t="s">
        <v>502</v>
      </c>
      <c r="B123" s="6">
        <v>187</v>
      </c>
      <c r="C123" s="6">
        <v>105</v>
      </c>
      <c r="D123" s="6">
        <v>103</v>
      </c>
      <c r="E123" s="11">
        <v>904</v>
      </c>
    </row>
    <row r="124" spans="1:5" ht="15" x14ac:dyDescent="0.2">
      <c r="A124" s="7" t="s">
        <v>503</v>
      </c>
      <c r="B124" s="8">
        <v>166</v>
      </c>
      <c r="C124" s="8">
        <v>93</v>
      </c>
      <c r="D124" s="8">
        <v>84</v>
      </c>
      <c r="E124" s="11">
        <v>905</v>
      </c>
    </row>
    <row r="125" spans="1:5" ht="15" x14ac:dyDescent="0.2">
      <c r="A125" s="5" t="s">
        <v>504</v>
      </c>
      <c r="B125" s="6">
        <v>463</v>
      </c>
      <c r="C125" s="6">
        <v>274</v>
      </c>
      <c r="D125" s="6">
        <v>236</v>
      </c>
      <c r="E125" s="11">
        <v>906</v>
      </c>
    </row>
    <row r="126" spans="1:5" ht="15" x14ac:dyDescent="0.2">
      <c r="A126" s="7" t="s">
        <v>505</v>
      </c>
      <c r="B126" s="8">
        <v>1490</v>
      </c>
      <c r="C126" s="8">
        <v>1165</v>
      </c>
      <c r="D126" s="8">
        <v>1003</v>
      </c>
      <c r="E126" s="11">
        <v>907</v>
      </c>
    </row>
    <row r="127" spans="1:5" ht="15" x14ac:dyDescent="0.2">
      <c r="A127" s="5" t="s">
        <v>506</v>
      </c>
      <c r="B127" s="6">
        <v>159</v>
      </c>
      <c r="C127" s="6">
        <v>96</v>
      </c>
      <c r="D127" s="6">
        <v>64</v>
      </c>
      <c r="E127" s="11">
        <v>908</v>
      </c>
    </row>
    <row r="128" spans="1:5" ht="15" x14ac:dyDescent="0.2">
      <c r="A128" s="7" t="s">
        <v>507</v>
      </c>
      <c r="B128" s="8">
        <v>95</v>
      </c>
      <c r="C128" s="8">
        <v>44</v>
      </c>
      <c r="D128" s="8">
        <v>49</v>
      </c>
      <c r="E128" s="11">
        <v>909</v>
      </c>
    </row>
    <row r="129" spans="1:5" ht="15" x14ac:dyDescent="0.2">
      <c r="A129" s="5" t="s">
        <v>508</v>
      </c>
      <c r="B129" s="6">
        <v>232</v>
      </c>
      <c r="C129" s="6">
        <v>134</v>
      </c>
      <c r="D129" s="6">
        <v>125</v>
      </c>
      <c r="E129" s="11">
        <v>910</v>
      </c>
    </row>
    <row r="130" spans="1:5" ht="15" x14ac:dyDescent="0.2">
      <c r="A130" s="7" t="s">
        <v>509</v>
      </c>
      <c r="B130" s="8">
        <v>241</v>
      </c>
      <c r="C130" s="8">
        <v>177</v>
      </c>
      <c r="D130" s="8">
        <v>146</v>
      </c>
      <c r="E130" s="11">
        <v>911</v>
      </c>
    </row>
    <row r="131" spans="1:5" ht="15" x14ac:dyDescent="0.2">
      <c r="A131" s="5" t="s">
        <v>510</v>
      </c>
      <c r="B131" s="6">
        <v>902</v>
      </c>
      <c r="C131" s="6">
        <v>534</v>
      </c>
      <c r="D131" s="6">
        <v>427</v>
      </c>
      <c r="E131" s="11">
        <v>912</v>
      </c>
    </row>
    <row r="132" spans="1:5" ht="15" x14ac:dyDescent="0.2">
      <c r="A132" s="7" t="s">
        <v>511</v>
      </c>
      <c r="B132" s="8">
        <v>275</v>
      </c>
      <c r="C132" s="8">
        <v>116</v>
      </c>
      <c r="D132" s="8">
        <v>113</v>
      </c>
      <c r="E132" s="11">
        <v>913</v>
      </c>
    </row>
    <row r="133" spans="1:5" ht="15" x14ac:dyDescent="0.2">
      <c r="A133" s="5" t="s">
        <v>512</v>
      </c>
      <c r="B133" s="6">
        <v>161</v>
      </c>
      <c r="C133" s="6">
        <v>115</v>
      </c>
      <c r="D133" s="6">
        <v>122</v>
      </c>
      <c r="E133" s="11">
        <v>914</v>
      </c>
    </row>
    <row r="134" spans="1:5" ht="15" x14ac:dyDescent="0.2">
      <c r="A134" s="7" t="s">
        <v>513</v>
      </c>
      <c r="B134" s="8">
        <v>1983</v>
      </c>
      <c r="C134" s="8">
        <v>1371</v>
      </c>
      <c r="D134" s="8">
        <v>1383</v>
      </c>
      <c r="E134" s="11">
        <v>1001</v>
      </c>
    </row>
    <row r="135" spans="1:5" ht="15" x14ac:dyDescent="0.2">
      <c r="A135" s="5" t="s">
        <v>514</v>
      </c>
      <c r="B135" s="6">
        <v>158</v>
      </c>
      <c r="C135" s="6">
        <v>88</v>
      </c>
      <c r="D135" s="6">
        <v>76</v>
      </c>
      <c r="E135" s="11">
        <v>1002</v>
      </c>
    </row>
    <row r="136" spans="1:5" ht="15" x14ac:dyDescent="0.2">
      <c r="A136" s="7" t="s">
        <v>515</v>
      </c>
      <c r="B136" s="8">
        <v>370</v>
      </c>
      <c r="C136" s="8">
        <v>268</v>
      </c>
      <c r="D136" s="8">
        <v>220</v>
      </c>
      <c r="E136" s="11">
        <v>1003</v>
      </c>
    </row>
    <row r="137" spans="1:5" ht="15" x14ac:dyDescent="0.2">
      <c r="A137" s="5" t="s">
        <v>516</v>
      </c>
      <c r="B137" s="6">
        <v>588</v>
      </c>
      <c r="C137" s="6">
        <v>416</v>
      </c>
      <c r="D137" s="6">
        <v>385</v>
      </c>
      <c r="E137" s="11">
        <v>1004</v>
      </c>
    </row>
    <row r="138" spans="1:5" ht="15" x14ac:dyDescent="0.2">
      <c r="A138" s="7" t="s">
        <v>517</v>
      </c>
      <c r="B138" s="8">
        <v>585</v>
      </c>
      <c r="C138" s="8">
        <v>416</v>
      </c>
      <c r="D138" s="8">
        <v>434</v>
      </c>
      <c r="E138" s="11">
        <v>1005</v>
      </c>
    </row>
    <row r="139" spans="1:5" ht="15" x14ac:dyDescent="0.2">
      <c r="A139" s="5" t="s">
        <v>518</v>
      </c>
      <c r="B139" s="6">
        <v>2209</v>
      </c>
      <c r="C139" s="6">
        <v>1655</v>
      </c>
      <c r="D139" s="6">
        <v>1594</v>
      </c>
      <c r="E139" s="11">
        <v>1006</v>
      </c>
    </row>
    <row r="140" spans="1:5" ht="15" x14ac:dyDescent="0.2">
      <c r="A140" s="7" t="s">
        <v>519</v>
      </c>
      <c r="B140" s="8">
        <v>86</v>
      </c>
      <c r="C140" s="8">
        <v>43</v>
      </c>
      <c r="D140" s="8">
        <v>49</v>
      </c>
      <c r="E140" s="11">
        <v>1007</v>
      </c>
    </row>
    <row r="141" spans="1:5" ht="15" x14ac:dyDescent="0.2">
      <c r="A141" s="5" t="s">
        <v>520</v>
      </c>
      <c r="B141" s="6">
        <v>151</v>
      </c>
      <c r="C141" s="6">
        <v>103</v>
      </c>
      <c r="D141" s="6">
        <v>80</v>
      </c>
      <c r="E141" s="11">
        <v>1008</v>
      </c>
    </row>
    <row r="142" spans="1:5" ht="15" x14ac:dyDescent="0.2">
      <c r="A142" s="7" t="s">
        <v>521</v>
      </c>
      <c r="B142" s="8">
        <v>4284</v>
      </c>
      <c r="C142" s="8">
        <v>3326</v>
      </c>
      <c r="D142" s="8">
        <v>3533</v>
      </c>
      <c r="E142" s="11">
        <v>1009</v>
      </c>
    </row>
    <row r="143" spans="1:5" ht="15" x14ac:dyDescent="0.2">
      <c r="A143" s="5" t="s">
        <v>522</v>
      </c>
      <c r="B143" s="6">
        <v>1605</v>
      </c>
      <c r="C143" s="6">
        <v>1474</v>
      </c>
      <c r="D143" s="6">
        <v>1797</v>
      </c>
      <c r="E143" s="11">
        <v>1010</v>
      </c>
    </row>
    <row r="144" spans="1:5" ht="15" x14ac:dyDescent="0.2">
      <c r="A144" s="7" t="s">
        <v>523</v>
      </c>
      <c r="B144" s="8">
        <v>718</v>
      </c>
      <c r="C144" s="8">
        <v>559</v>
      </c>
      <c r="D144" s="8">
        <v>552</v>
      </c>
      <c r="E144" s="11">
        <v>1011</v>
      </c>
    </row>
    <row r="145" spans="1:5" ht="15" x14ac:dyDescent="0.2">
      <c r="A145" s="5" t="s">
        <v>524</v>
      </c>
      <c r="B145" s="6">
        <v>470</v>
      </c>
      <c r="C145" s="6">
        <v>303</v>
      </c>
      <c r="D145" s="6">
        <v>312</v>
      </c>
      <c r="E145" s="11">
        <v>1012</v>
      </c>
    </row>
    <row r="146" spans="1:5" ht="15" x14ac:dyDescent="0.2">
      <c r="A146" s="7" t="s">
        <v>525</v>
      </c>
      <c r="B146" s="8">
        <v>124</v>
      </c>
      <c r="C146" s="8">
        <v>65</v>
      </c>
      <c r="D146" s="8">
        <v>49</v>
      </c>
      <c r="E146" s="11">
        <v>1013</v>
      </c>
    </row>
    <row r="147" spans="1:5" ht="15" x14ac:dyDescent="0.2">
      <c r="A147" s="5" t="s">
        <v>526</v>
      </c>
      <c r="B147" s="6">
        <v>1818</v>
      </c>
      <c r="C147" s="6">
        <v>1476</v>
      </c>
      <c r="D147" s="6">
        <v>1330</v>
      </c>
      <c r="E147" s="11">
        <v>1014</v>
      </c>
    </row>
    <row r="148" spans="1:5" ht="15" x14ac:dyDescent="0.2">
      <c r="A148" s="7" t="s">
        <v>527</v>
      </c>
      <c r="B148" s="8">
        <v>1361</v>
      </c>
      <c r="C148" s="8">
        <v>960</v>
      </c>
      <c r="D148" s="8">
        <v>914</v>
      </c>
      <c r="E148" s="11">
        <v>1015</v>
      </c>
    </row>
    <row r="149" spans="1:5" ht="15" x14ac:dyDescent="0.2">
      <c r="A149" s="5" t="s">
        <v>528</v>
      </c>
      <c r="B149" s="6">
        <v>981</v>
      </c>
      <c r="C149" s="6">
        <v>619</v>
      </c>
      <c r="D149" s="6">
        <v>546</v>
      </c>
      <c r="E149" s="11">
        <v>1016</v>
      </c>
    </row>
    <row r="150" spans="1:5" ht="15" x14ac:dyDescent="0.2">
      <c r="A150" s="7" t="s">
        <v>529</v>
      </c>
      <c r="B150" s="8">
        <v>2015</v>
      </c>
      <c r="C150" s="8">
        <v>1556</v>
      </c>
      <c r="D150" s="8">
        <v>1863</v>
      </c>
      <c r="E150" s="11">
        <v>1101</v>
      </c>
    </row>
    <row r="151" spans="1:5" ht="15" x14ac:dyDescent="0.2">
      <c r="A151" s="5" t="s">
        <v>530</v>
      </c>
      <c r="B151" s="6">
        <v>525</v>
      </c>
      <c r="C151" s="6">
        <v>365</v>
      </c>
      <c r="D151" s="6">
        <v>393</v>
      </c>
      <c r="E151" s="11">
        <v>1102</v>
      </c>
    </row>
    <row r="152" spans="1:5" ht="15" x14ac:dyDescent="0.2">
      <c r="A152" s="7" t="s">
        <v>531</v>
      </c>
      <c r="B152" s="8">
        <v>1019</v>
      </c>
      <c r="C152" s="8">
        <v>791</v>
      </c>
      <c r="D152" s="8">
        <v>818</v>
      </c>
      <c r="E152" s="11">
        <v>1103</v>
      </c>
    </row>
    <row r="153" spans="1:5" ht="15" x14ac:dyDescent="0.2">
      <c r="A153" s="5" t="s">
        <v>532</v>
      </c>
      <c r="B153" s="6">
        <v>676</v>
      </c>
      <c r="C153" s="6">
        <v>483</v>
      </c>
      <c r="D153" s="6">
        <v>487</v>
      </c>
      <c r="E153" s="11">
        <v>1104</v>
      </c>
    </row>
    <row r="154" spans="1:5" ht="15" x14ac:dyDescent="0.2">
      <c r="A154" s="7" t="s">
        <v>533</v>
      </c>
      <c r="B154" s="8">
        <v>7964</v>
      </c>
      <c r="C154" s="8">
        <v>5837</v>
      </c>
      <c r="D154" s="8">
        <v>5990</v>
      </c>
      <c r="E154" s="11">
        <v>1105</v>
      </c>
    </row>
    <row r="155" spans="1:5" ht="15" x14ac:dyDescent="0.2">
      <c r="A155" s="5" t="s">
        <v>534</v>
      </c>
      <c r="B155" s="6">
        <v>19279</v>
      </c>
      <c r="C155" s="6">
        <v>13939</v>
      </c>
      <c r="D155" s="6">
        <v>15295</v>
      </c>
      <c r="E155" s="11">
        <v>1106</v>
      </c>
    </row>
    <row r="156" spans="1:5" ht="15" x14ac:dyDescent="0.2">
      <c r="A156" s="7" t="s">
        <v>535</v>
      </c>
      <c r="B156" s="8">
        <v>8389</v>
      </c>
      <c r="C156" s="8">
        <v>6243</v>
      </c>
      <c r="D156" s="8">
        <v>6591</v>
      </c>
      <c r="E156" s="11">
        <v>1107</v>
      </c>
    </row>
    <row r="157" spans="1:5" ht="15" x14ac:dyDescent="0.2">
      <c r="A157" s="5" t="s">
        <v>536</v>
      </c>
      <c r="B157" s="6">
        <v>1067</v>
      </c>
      <c r="C157" s="6">
        <v>759</v>
      </c>
      <c r="D157" s="6">
        <v>752</v>
      </c>
      <c r="E157" s="11">
        <v>1108</v>
      </c>
    </row>
    <row r="158" spans="1:5" ht="15" x14ac:dyDescent="0.2">
      <c r="A158" s="7" t="s">
        <v>537</v>
      </c>
      <c r="B158" s="8">
        <v>2791</v>
      </c>
      <c r="C158" s="8">
        <v>2051</v>
      </c>
      <c r="D158" s="8">
        <v>2029</v>
      </c>
      <c r="E158" s="11">
        <v>1109</v>
      </c>
    </row>
    <row r="159" spans="1:5" ht="15" x14ac:dyDescent="0.2">
      <c r="A159" s="5" t="s">
        <v>538</v>
      </c>
      <c r="B159" s="6">
        <v>6001</v>
      </c>
      <c r="C159" s="6">
        <v>4441</v>
      </c>
      <c r="D159" s="6">
        <v>4519</v>
      </c>
      <c r="E159" s="11">
        <v>1110</v>
      </c>
    </row>
    <row r="160" spans="1:5" ht="15" x14ac:dyDescent="0.2">
      <c r="A160" s="7" t="s">
        <v>539</v>
      </c>
      <c r="B160" s="8">
        <v>16818</v>
      </c>
      <c r="C160" s="8">
        <v>12002</v>
      </c>
      <c r="D160" s="8">
        <v>12916</v>
      </c>
      <c r="E160" s="11">
        <v>1111</v>
      </c>
    </row>
    <row r="161" spans="1:5" ht="15" x14ac:dyDescent="0.2">
      <c r="A161" s="5" t="s">
        <v>540</v>
      </c>
      <c r="B161" s="6">
        <v>332</v>
      </c>
      <c r="C161" s="6">
        <v>199</v>
      </c>
      <c r="D161" s="6">
        <v>261</v>
      </c>
      <c r="E161" s="11">
        <v>1112</v>
      </c>
    </row>
    <row r="162" spans="1:5" ht="15" x14ac:dyDescent="0.2">
      <c r="A162" s="7" t="s">
        <v>541</v>
      </c>
      <c r="B162" s="8">
        <v>3087</v>
      </c>
      <c r="C162" s="8">
        <v>2128</v>
      </c>
      <c r="D162" s="8">
        <v>2121</v>
      </c>
      <c r="E162" s="11">
        <v>1113</v>
      </c>
    </row>
    <row r="163" spans="1:5" ht="15" x14ac:dyDescent="0.2">
      <c r="A163" s="5" t="s">
        <v>542</v>
      </c>
      <c r="B163" s="6">
        <v>6705</v>
      </c>
      <c r="C163" s="6">
        <v>5066</v>
      </c>
      <c r="D163" s="6">
        <v>5016</v>
      </c>
      <c r="E163" s="11">
        <v>1114</v>
      </c>
    </row>
    <row r="164" spans="1:5" ht="15" x14ac:dyDescent="0.2">
      <c r="A164" s="7" t="s">
        <v>543</v>
      </c>
      <c r="B164" s="8">
        <v>7237</v>
      </c>
      <c r="C164" s="8">
        <v>5117</v>
      </c>
      <c r="D164" s="8">
        <v>5433</v>
      </c>
      <c r="E164" s="11">
        <v>1115</v>
      </c>
    </row>
    <row r="165" spans="1:5" ht="15" x14ac:dyDescent="0.2">
      <c r="A165" s="5" t="s">
        <v>544</v>
      </c>
      <c r="B165" s="6">
        <v>6078</v>
      </c>
      <c r="C165" s="6">
        <v>4152</v>
      </c>
      <c r="D165" s="6">
        <v>4621</v>
      </c>
      <c r="E165" s="11">
        <v>1116</v>
      </c>
    </row>
    <row r="166" spans="1:5" ht="15" x14ac:dyDescent="0.2">
      <c r="A166" s="7" t="s">
        <v>545</v>
      </c>
      <c r="B166" s="8">
        <v>143</v>
      </c>
      <c r="C166" s="8">
        <v>117</v>
      </c>
      <c r="D166" s="8">
        <v>108</v>
      </c>
      <c r="E166" s="11">
        <v>1201</v>
      </c>
    </row>
    <row r="167" spans="1:5" ht="15" x14ac:dyDescent="0.2">
      <c r="A167" s="5" t="s">
        <v>546</v>
      </c>
      <c r="B167" s="6">
        <v>87</v>
      </c>
      <c r="C167" s="6">
        <v>59</v>
      </c>
      <c r="D167" s="6">
        <v>52</v>
      </c>
      <c r="E167" s="11">
        <v>1202</v>
      </c>
    </row>
    <row r="168" spans="1:5" ht="15" x14ac:dyDescent="0.2">
      <c r="A168" s="7" t="s">
        <v>547</v>
      </c>
      <c r="B168" s="8">
        <v>226</v>
      </c>
      <c r="C168" s="8">
        <v>157</v>
      </c>
      <c r="D168" s="8">
        <v>135</v>
      </c>
      <c r="E168" s="11">
        <v>1203</v>
      </c>
    </row>
    <row r="169" spans="1:5" ht="15" x14ac:dyDescent="0.2">
      <c r="A169" s="5" t="s">
        <v>548</v>
      </c>
      <c r="B169" s="6">
        <v>404</v>
      </c>
      <c r="C169" s="6">
        <v>357</v>
      </c>
      <c r="D169" s="6">
        <v>313</v>
      </c>
      <c r="E169" s="11">
        <v>1204</v>
      </c>
    </row>
    <row r="170" spans="1:5" ht="15" x14ac:dyDescent="0.2">
      <c r="A170" s="7" t="s">
        <v>549</v>
      </c>
      <c r="B170" s="8">
        <v>103</v>
      </c>
      <c r="C170" s="8">
        <v>92</v>
      </c>
      <c r="D170" s="8">
        <v>61</v>
      </c>
      <c r="E170" s="11">
        <v>1205</v>
      </c>
    </row>
    <row r="171" spans="1:5" ht="15" x14ac:dyDescent="0.2">
      <c r="A171" s="5" t="s">
        <v>550</v>
      </c>
      <c r="B171" s="6">
        <v>182</v>
      </c>
      <c r="C171" s="6">
        <v>106</v>
      </c>
      <c r="D171" s="6">
        <v>64</v>
      </c>
      <c r="E171" s="11">
        <v>1206</v>
      </c>
    </row>
    <row r="172" spans="1:5" ht="15" x14ac:dyDescent="0.2">
      <c r="A172" s="7" t="s">
        <v>551</v>
      </c>
      <c r="B172" s="8">
        <v>1162</v>
      </c>
      <c r="C172" s="8">
        <v>865</v>
      </c>
      <c r="D172" s="8">
        <v>779</v>
      </c>
      <c r="E172" s="11">
        <v>1207</v>
      </c>
    </row>
    <row r="173" spans="1:5" ht="15" x14ac:dyDescent="0.2">
      <c r="A173" s="5" t="s">
        <v>552</v>
      </c>
      <c r="B173" s="6">
        <v>182</v>
      </c>
      <c r="C173" s="6">
        <v>120</v>
      </c>
      <c r="D173" s="6">
        <v>96</v>
      </c>
      <c r="E173" s="11">
        <v>1208</v>
      </c>
    </row>
    <row r="174" spans="1:5" ht="15" x14ac:dyDescent="0.2">
      <c r="A174" s="7" t="s">
        <v>553</v>
      </c>
      <c r="B174" s="8">
        <v>125</v>
      </c>
      <c r="C174" s="8">
        <v>94</v>
      </c>
      <c r="D174" s="8">
        <v>82</v>
      </c>
      <c r="E174" s="11">
        <v>1209</v>
      </c>
    </row>
    <row r="175" spans="1:5" ht="15" x14ac:dyDescent="0.2">
      <c r="A175" s="5" t="s">
        <v>554</v>
      </c>
      <c r="B175" s="6">
        <v>118</v>
      </c>
      <c r="C175" s="6">
        <v>77</v>
      </c>
      <c r="D175" s="6">
        <v>56</v>
      </c>
      <c r="E175" s="11">
        <v>1210</v>
      </c>
    </row>
    <row r="176" spans="1:5" ht="15" x14ac:dyDescent="0.2">
      <c r="A176" s="7" t="s">
        <v>555</v>
      </c>
      <c r="B176" s="8">
        <v>130</v>
      </c>
      <c r="C176" s="8">
        <v>109</v>
      </c>
      <c r="D176" s="8">
        <v>80</v>
      </c>
      <c r="E176" s="11">
        <v>1211</v>
      </c>
    </row>
    <row r="177" spans="1:5" ht="15" x14ac:dyDescent="0.2">
      <c r="A177" s="5" t="s">
        <v>556</v>
      </c>
      <c r="B177" s="6">
        <v>196</v>
      </c>
      <c r="C177" s="6">
        <v>146</v>
      </c>
      <c r="D177" s="6">
        <v>141</v>
      </c>
      <c r="E177" s="11">
        <v>1212</v>
      </c>
    </row>
    <row r="178" spans="1:5" ht="15" x14ac:dyDescent="0.2">
      <c r="A178" s="7" t="s">
        <v>557</v>
      </c>
      <c r="B178" s="8">
        <v>1086</v>
      </c>
      <c r="C178" s="8">
        <v>688</v>
      </c>
      <c r="D178" s="8">
        <v>654</v>
      </c>
      <c r="E178" s="11">
        <v>1213</v>
      </c>
    </row>
    <row r="179" spans="1:5" ht="15" x14ac:dyDescent="0.2">
      <c r="A179" s="5" t="s">
        <v>558</v>
      </c>
      <c r="B179" s="6">
        <v>930</v>
      </c>
      <c r="C179" s="6">
        <v>762</v>
      </c>
      <c r="D179" s="6">
        <v>688</v>
      </c>
      <c r="E179" s="11">
        <v>1214</v>
      </c>
    </row>
    <row r="180" spans="1:5" ht="15" x14ac:dyDescent="0.2">
      <c r="A180" s="7" t="s">
        <v>559</v>
      </c>
      <c r="B180" s="8">
        <v>252</v>
      </c>
      <c r="C180" s="8">
        <v>201</v>
      </c>
      <c r="D180" s="8">
        <v>190</v>
      </c>
      <c r="E180" s="11">
        <v>1215</v>
      </c>
    </row>
    <row r="181" spans="1:5" ht="15" x14ac:dyDescent="0.2">
      <c r="A181" s="5" t="s">
        <v>560</v>
      </c>
      <c r="B181" s="6">
        <v>2535</v>
      </c>
      <c r="C181" s="6">
        <v>1830</v>
      </c>
      <c r="D181" s="6">
        <v>1643</v>
      </c>
      <c r="E181" s="11">
        <v>1301</v>
      </c>
    </row>
    <row r="182" spans="1:5" ht="15" x14ac:dyDescent="0.2">
      <c r="A182" s="7" t="s">
        <v>561</v>
      </c>
      <c r="B182" s="8">
        <v>899</v>
      </c>
      <c r="C182" s="8">
        <v>548</v>
      </c>
      <c r="D182" s="8">
        <v>433</v>
      </c>
      <c r="E182" s="11">
        <v>1302</v>
      </c>
    </row>
    <row r="183" spans="1:5" ht="15" x14ac:dyDescent="0.2">
      <c r="A183" s="5" t="s">
        <v>562</v>
      </c>
      <c r="B183" s="6">
        <v>2222</v>
      </c>
      <c r="C183" s="6">
        <v>2604</v>
      </c>
      <c r="D183" s="6">
        <v>2220</v>
      </c>
      <c r="E183" s="11">
        <v>1303</v>
      </c>
    </row>
    <row r="184" spans="1:5" ht="15" x14ac:dyDescent="0.2">
      <c r="A184" s="7" t="s">
        <v>563</v>
      </c>
      <c r="B184" s="8">
        <v>9266</v>
      </c>
      <c r="C184" s="8">
        <v>7169</v>
      </c>
      <c r="D184" s="8">
        <v>6083</v>
      </c>
      <c r="E184" s="11">
        <v>1304</v>
      </c>
    </row>
    <row r="185" spans="1:5" ht="15" x14ac:dyDescent="0.2">
      <c r="A185" s="5" t="s">
        <v>564</v>
      </c>
      <c r="B185" s="6">
        <v>2204</v>
      </c>
      <c r="C185" s="6">
        <v>1993</v>
      </c>
      <c r="D185" s="6">
        <v>1565</v>
      </c>
      <c r="E185" s="11">
        <v>1305</v>
      </c>
    </row>
    <row r="186" spans="1:5" ht="15" x14ac:dyDescent="0.2">
      <c r="A186" s="7" t="s">
        <v>565</v>
      </c>
      <c r="B186" s="8">
        <v>7108</v>
      </c>
      <c r="C186" s="8">
        <v>5280</v>
      </c>
      <c r="D186" s="8">
        <v>4877</v>
      </c>
      <c r="E186" s="11">
        <v>1306</v>
      </c>
    </row>
    <row r="187" spans="1:5" ht="15" x14ac:dyDescent="0.2">
      <c r="A187" s="5" t="s">
        <v>566</v>
      </c>
      <c r="B187" s="6">
        <v>2740</v>
      </c>
      <c r="C187" s="6">
        <v>1861</v>
      </c>
      <c r="D187" s="6">
        <v>1609</v>
      </c>
      <c r="E187" s="11">
        <v>1307</v>
      </c>
    </row>
    <row r="188" spans="1:5" ht="15" x14ac:dyDescent="0.2">
      <c r="A188" s="7" t="s">
        <v>567</v>
      </c>
      <c r="B188" s="8">
        <v>9239</v>
      </c>
      <c r="C188" s="8">
        <v>7328</v>
      </c>
      <c r="D188" s="8">
        <v>6449</v>
      </c>
      <c r="E188" s="11">
        <v>1308</v>
      </c>
    </row>
    <row r="189" spans="1:5" ht="15" x14ac:dyDescent="0.2">
      <c r="A189" s="5" t="s">
        <v>568</v>
      </c>
      <c r="B189" s="6">
        <v>2773</v>
      </c>
      <c r="C189" s="6">
        <v>1921</v>
      </c>
      <c r="D189" s="6">
        <v>1739</v>
      </c>
      <c r="E189" s="11">
        <v>1309</v>
      </c>
    </row>
    <row r="190" spans="1:5" ht="15" x14ac:dyDescent="0.2">
      <c r="A190" s="7" t="s">
        <v>569</v>
      </c>
      <c r="B190" s="8">
        <v>4635</v>
      </c>
      <c r="C190" s="8">
        <v>3237</v>
      </c>
      <c r="D190" s="8">
        <v>2852</v>
      </c>
      <c r="E190" s="11">
        <v>1310</v>
      </c>
    </row>
    <row r="191" spans="1:5" ht="15" x14ac:dyDescent="0.2">
      <c r="A191" s="5" t="s">
        <v>570</v>
      </c>
      <c r="B191" s="6">
        <v>3654</v>
      </c>
      <c r="C191" s="6">
        <v>2272</v>
      </c>
      <c r="D191" s="6">
        <v>2101</v>
      </c>
      <c r="E191" s="11">
        <v>1311</v>
      </c>
    </row>
    <row r="192" spans="1:5" ht="15" x14ac:dyDescent="0.2">
      <c r="A192" s="7" t="s">
        <v>571</v>
      </c>
      <c r="B192" s="8">
        <v>10538</v>
      </c>
      <c r="C192" s="8">
        <v>8168</v>
      </c>
      <c r="D192" s="8">
        <v>8439</v>
      </c>
      <c r="E192" s="11">
        <v>1312</v>
      </c>
    </row>
    <row r="193" spans="1:5" ht="15" x14ac:dyDescent="0.2">
      <c r="A193" s="5" t="s">
        <v>572</v>
      </c>
      <c r="B193" s="6">
        <v>2921</v>
      </c>
      <c r="C193" s="6">
        <v>2496</v>
      </c>
      <c r="D193" s="6">
        <v>2356</v>
      </c>
      <c r="E193" s="11">
        <v>1313</v>
      </c>
    </row>
    <row r="194" spans="1:5" ht="15" x14ac:dyDescent="0.2">
      <c r="A194" s="7" t="s">
        <v>573</v>
      </c>
      <c r="B194" s="8">
        <v>3586</v>
      </c>
      <c r="C194" s="8">
        <v>2911</v>
      </c>
      <c r="D194" s="8">
        <v>2590</v>
      </c>
      <c r="E194" s="11">
        <v>1314</v>
      </c>
    </row>
    <row r="195" spans="1:5" ht="15" x14ac:dyDescent="0.2">
      <c r="A195" s="5" t="s">
        <v>574</v>
      </c>
      <c r="B195" s="6">
        <v>5099</v>
      </c>
      <c r="C195" s="6">
        <v>4071</v>
      </c>
      <c r="D195" s="6">
        <v>3572</v>
      </c>
      <c r="E195" s="11">
        <v>1315</v>
      </c>
    </row>
    <row r="196" spans="1:5" ht="15" x14ac:dyDescent="0.2">
      <c r="A196" s="7" t="s">
        <v>575</v>
      </c>
      <c r="B196" s="8">
        <v>4253</v>
      </c>
      <c r="C196" s="8">
        <v>3573</v>
      </c>
      <c r="D196" s="8">
        <v>3224</v>
      </c>
      <c r="E196" s="11">
        <v>1316</v>
      </c>
    </row>
    <row r="197" spans="1:5" ht="15" x14ac:dyDescent="0.2">
      <c r="A197" s="5" t="s">
        <v>576</v>
      </c>
      <c r="B197" s="6">
        <v>17180</v>
      </c>
      <c r="C197" s="6">
        <v>12988</v>
      </c>
      <c r="D197" s="6">
        <v>11499</v>
      </c>
      <c r="E197" s="11">
        <v>1317</v>
      </c>
    </row>
    <row r="198" spans="1:5" ht="15" x14ac:dyDescent="0.2">
      <c r="A198" s="7" t="s">
        <v>577</v>
      </c>
      <c r="B198" s="8">
        <v>2276</v>
      </c>
      <c r="C198" s="8">
        <v>1840</v>
      </c>
      <c r="D198" s="8">
        <v>1541</v>
      </c>
      <c r="E198" s="11">
        <v>1318</v>
      </c>
    </row>
    <row r="199" spans="1:5" ht="15" x14ac:dyDescent="0.2">
      <c r="A199" s="5" t="s">
        <v>578</v>
      </c>
      <c r="B199" s="6">
        <v>1972</v>
      </c>
      <c r="C199" s="6">
        <v>1505</v>
      </c>
      <c r="D199" s="6">
        <v>1308</v>
      </c>
      <c r="E199" s="11">
        <v>1401</v>
      </c>
    </row>
    <row r="200" spans="1:5" ht="15" x14ac:dyDescent="0.2">
      <c r="A200" s="7" t="s">
        <v>579</v>
      </c>
      <c r="B200" s="8">
        <v>492</v>
      </c>
      <c r="C200" s="8">
        <v>386</v>
      </c>
      <c r="D200" s="8">
        <v>346</v>
      </c>
      <c r="E200" s="11">
        <v>1402</v>
      </c>
    </row>
    <row r="201" spans="1:5" ht="15" x14ac:dyDescent="0.2">
      <c r="A201" s="5" t="s">
        <v>580</v>
      </c>
      <c r="B201" s="6">
        <v>1420</v>
      </c>
      <c r="C201" s="6">
        <v>994</v>
      </c>
      <c r="D201" s="6">
        <v>932</v>
      </c>
      <c r="E201" s="11">
        <v>1403</v>
      </c>
    </row>
    <row r="202" spans="1:5" ht="15" x14ac:dyDescent="0.2">
      <c r="A202" s="7" t="s">
        <v>581</v>
      </c>
      <c r="B202" s="8">
        <v>462</v>
      </c>
      <c r="C202" s="8">
        <v>284</v>
      </c>
      <c r="D202" s="8">
        <v>251</v>
      </c>
      <c r="E202" s="11">
        <v>1404</v>
      </c>
    </row>
    <row r="203" spans="1:5" ht="15" x14ac:dyDescent="0.2">
      <c r="A203" s="5" t="s">
        <v>582</v>
      </c>
      <c r="B203" s="6">
        <v>1622</v>
      </c>
      <c r="C203" s="6">
        <v>1345</v>
      </c>
      <c r="D203" s="6">
        <v>1215</v>
      </c>
      <c r="E203" s="11">
        <v>1405</v>
      </c>
    </row>
    <row r="204" spans="1:5" ht="15" x14ac:dyDescent="0.2">
      <c r="A204" s="7" t="s">
        <v>583</v>
      </c>
      <c r="B204" s="8">
        <v>1196</v>
      </c>
      <c r="C204" s="8">
        <v>835</v>
      </c>
      <c r="D204" s="8">
        <v>825</v>
      </c>
      <c r="E204" s="11">
        <v>1406</v>
      </c>
    </row>
    <row r="205" spans="1:5" ht="15" x14ac:dyDescent="0.2">
      <c r="A205" s="5" t="s">
        <v>584</v>
      </c>
      <c r="B205" s="6">
        <v>474</v>
      </c>
      <c r="C205" s="6">
        <v>349</v>
      </c>
      <c r="D205" s="6">
        <v>262</v>
      </c>
      <c r="E205" s="11">
        <v>1407</v>
      </c>
    </row>
    <row r="206" spans="1:5" ht="15" x14ac:dyDescent="0.2">
      <c r="A206" s="7" t="s">
        <v>585</v>
      </c>
      <c r="B206" s="8">
        <v>207</v>
      </c>
      <c r="C206" s="8">
        <v>131</v>
      </c>
      <c r="D206" s="8">
        <v>97</v>
      </c>
      <c r="E206" s="11">
        <v>1408</v>
      </c>
    </row>
    <row r="207" spans="1:5" ht="15" x14ac:dyDescent="0.2">
      <c r="A207" s="5" t="s">
        <v>586</v>
      </c>
      <c r="B207" s="6">
        <v>1099</v>
      </c>
      <c r="C207" s="6">
        <v>752</v>
      </c>
      <c r="D207" s="6">
        <v>616</v>
      </c>
      <c r="E207" s="11">
        <v>1409</v>
      </c>
    </row>
    <row r="208" spans="1:5" ht="15" x14ac:dyDescent="0.2">
      <c r="A208" s="7" t="s">
        <v>587</v>
      </c>
      <c r="B208" s="8">
        <v>739</v>
      </c>
      <c r="C208" s="8">
        <v>521</v>
      </c>
      <c r="D208" s="8">
        <v>555</v>
      </c>
      <c r="E208" s="11">
        <v>1410</v>
      </c>
    </row>
    <row r="209" spans="1:5" ht="15" x14ac:dyDescent="0.2">
      <c r="A209" s="5" t="s">
        <v>588</v>
      </c>
      <c r="B209" s="6">
        <v>176</v>
      </c>
      <c r="C209" s="6">
        <v>124</v>
      </c>
      <c r="D209" s="6">
        <v>99</v>
      </c>
      <c r="E209" s="11">
        <v>1411</v>
      </c>
    </row>
    <row r="210" spans="1:5" ht="15" x14ac:dyDescent="0.2">
      <c r="A210" s="7" t="s">
        <v>589</v>
      </c>
      <c r="B210" s="8">
        <v>268</v>
      </c>
      <c r="C210" s="8">
        <v>138</v>
      </c>
      <c r="D210" s="8">
        <v>136</v>
      </c>
      <c r="E210" s="11">
        <v>1412</v>
      </c>
    </row>
    <row r="211" spans="1:5" ht="15" x14ac:dyDescent="0.2">
      <c r="A211" s="5" t="s">
        <v>590</v>
      </c>
      <c r="B211" s="6">
        <v>210</v>
      </c>
      <c r="C211" s="6">
        <v>138</v>
      </c>
      <c r="D211" s="6">
        <v>111</v>
      </c>
      <c r="E211" s="11">
        <v>1413</v>
      </c>
    </row>
    <row r="212" spans="1:5" ht="15" x14ac:dyDescent="0.2">
      <c r="A212" s="7" t="s">
        <v>591</v>
      </c>
      <c r="B212" s="8">
        <v>774</v>
      </c>
      <c r="C212" s="8">
        <v>544</v>
      </c>
      <c r="D212" s="8">
        <v>597</v>
      </c>
      <c r="E212" s="11">
        <v>1414</v>
      </c>
    </row>
    <row r="213" spans="1:5" ht="15" x14ac:dyDescent="0.2">
      <c r="A213" s="5" t="s">
        <v>592</v>
      </c>
      <c r="B213" s="6">
        <v>1434</v>
      </c>
      <c r="C213" s="6">
        <v>1133</v>
      </c>
      <c r="D213" s="6">
        <v>930</v>
      </c>
      <c r="E213" s="11">
        <v>1415</v>
      </c>
    </row>
    <row r="214" spans="1:5" ht="15" x14ac:dyDescent="0.2">
      <c r="A214" s="7" t="s">
        <v>593</v>
      </c>
      <c r="B214" s="8">
        <v>2522</v>
      </c>
      <c r="C214" s="8">
        <v>1679</v>
      </c>
      <c r="D214" s="8">
        <v>1542</v>
      </c>
      <c r="E214" s="11">
        <v>1416</v>
      </c>
    </row>
    <row r="215" spans="1:5" ht="15" x14ac:dyDescent="0.2">
      <c r="A215" s="5" t="s">
        <v>594</v>
      </c>
      <c r="B215" s="6">
        <v>137</v>
      </c>
      <c r="C215" s="6">
        <v>97</v>
      </c>
      <c r="D215" s="6">
        <v>122</v>
      </c>
      <c r="E215" s="11">
        <v>1417</v>
      </c>
    </row>
    <row r="216" spans="1:5" ht="15" x14ac:dyDescent="0.2">
      <c r="A216" s="7" t="s">
        <v>595</v>
      </c>
      <c r="B216" s="8">
        <v>1237</v>
      </c>
      <c r="C216" s="8">
        <v>799</v>
      </c>
      <c r="D216" s="8">
        <v>744</v>
      </c>
      <c r="E216" s="11">
        <v>1418</v>
      </c>
    </row>
    <row r="217" spans="1:5" ht="15" x14ac:dyDescent="0.2">
      <c r="A217" s="5" t="s">
        <v>596</v>
      </c>
      <c r="B217" s="6">
        <v>1417</v>
      </c>
      <c r="C217" s="6">
        <v>954</v>
      </c>
      <c r="D217" s="6">
        <v>828</v>
      </c>
      <c r="E217" s="11">
        <v>1419</v>
      </c>
    </row>
    <row r="218" spans="1:5" ht="15" x14ac:dyDescent="0.2">
      <c r="A218" s="7" t="s">
        <v>597</v>
      </c>
      <c r="B218" s="8">
        <v>251</v>
      </c>
      <c r="C218" s="8">
        <v>148</v>
      </c>
      <c r="D218" s="8">
        <v>140</v>
      </c>
      <c r="E218" s="11">
        <v>1420</v>
      </c>
    </row>
    <row r="219" spans="1:5" ht="15" x14ac:dyDescent="0.2">
      <c r="A219" s="5" t="s">
        <v>598</v>
      </c>
      <c r="B219" s="6">
        <v>1485</v>
      </c>
      <c r="C219" s="6">
        <v>1009</v>
      </c>
      <c r="D219" s="6">
        <v>925</v>
      </c>
      <c r="E219" s="11">
        <v>1421</v>
      </c>
    </row>
    <row r="220" spans="1:5" ht="15" x14ac:dyDescent="0.2">
      <c r="A220" s="7" t="s">
        <v>599</v>
      </c>
      <c r="B220" s="8">
        <v>560</v>
      </c>
      <c r="C220" s="8">
        <v>330</v>
      </c>
      <c r="D220" s="8">
        <v>310</v>
      </c>
      <c r="E220" s="11">
        <v>1501</v>
      </c>
    </row>
    <row r="221" spans="1:5" ht="15" x14ac:dyDescent="0.2">
      <c r="A221" s="5" t="s">
        <v>600</v>
      </c>
      <c r="B221" s="6">
        <v>840</v>
      </c>
      <c r="C221" s="6">
        <v>548</v>
      </c>
      <c r="D221" s="6">
        <v>620</v>
      </c>
      <c r="E221" s="11">
        <v>1502</v>
      </c>
    </row>
    <row r="222" spans="1:5" ht="15" x14ac:dyDescent="0.2">
      <c r="A222" s="7" t="s">
        <v>601</v>
      </c>
      <c r="B222" s="8">
        <v>7082</v>
      </c>
      <c r="C222" s="8">
        <v>5481</v>
      </c>
      <c r="D222" s="8">
        <v>5635</v>
      </c>
      <c r="E222" s="11">
        <v>1503</v>
      </c>
    </row>
    <row r="223" spans="1:5" ht="15" x14ac:dyDescent="0.2">
      <c r="A223" s="5" t="s">
        <v>602</v>
      </c>
      <c r="B223" s="6">
        <v>3728</v>
      </c>
      <c r="C223" s="6">
        <v>2880</v>
      </c>
      <c r="D223" s="6">
        <v>2966</v>
      </c>
      <c r="E223" s="11">
        <v>1504</v>
      </c>
    </row>
    <row r="224" spans="1:5" ht="15" x14ac:dyDescent="0.2">
      <c r="A224" s="7" t="s">
        <v>603</v>
      </c>
      <c r="B224" s="8">
        <v>564</v>
      </c>
      <c r="C224" s="8">
        <v>376</v>
      </c>
      <c r="D224" s="8">
        <v>271</v>
      </c>
      <c r="E224" s="11">
        <v>1505</v>
      </c>
    </row>
    <row r="225" spans="1:5" ht="15" x14ac:dyDescent="0.2">
      <c r="A225" s="5" t="s">
        <v>604</v>
      </c>
      <c r="B225" s="6">
        <v>3713</v>
      </c>
      <c r="C225" s="6">
        <v>2764</v>
      </c>
      <c r="D225" s="6">
        <v>2872</v>
      </c>
      <c r="E225" s="11">
        <v>1506</v>
      </c>
    </row>
    <row r="226" spans="1:5" ht="15" x14ac:dyDescent="0.2">
      <c r="A226" s="7" t="s">
        <v>605</v>
      </c>
      <c r="B226" s="8">
        <v>2714</v>
      </c>
      <c r="C226" s="8">
        <v>1948</v>
      </c>
      <c r="D226" s="8">
        <v>2186</v>
      </c>
      <c r="E226" s="11">
        <v>1507</v>
      </c>
    </row>
    <row r="227" spans="1:5" ht="15" x14ac:dyDescent="0.2">
      <c r="A227" s="5" t="s">
        <v>606</v>
      </c>
      <c r="B227" s="6">
        <v>3212</v>
      </c>
      <c r="C227" s="6">
        <v>2434</v>
      </c>
      <c r="D227" s="6">
        <v>2535</v>
      </c>
      <c r="E227" s="11">
        <v>1508</v>
      </c>
    </row>
    <row r="228" spans="1:5" ht="15" x14ac:dyDescent="0.2">
      <c r="A228" s="7" t="s">
        <v>607</v>
      </c>
      <c r="B228" s="8">
        <v>1599</v>
      </c>
      <c r="C228" s="8">
        <v>1112</v>
      </c>
      <c r="D228" s="8">
        <v>964</v>
      </c>
      <c r="E228" s="11">
        <v>1509</v>
      </c>
    </row>
    <row r="229" spans="1:5" ht="15" x14ac:dyDescent="0.2">
      <c r="A229" s="5" t="s">
        <v>608</v>
      </c>
      <c r="B229" s="6">
        <v>7029</v>
      </c>
      <c r="C229" s="6">
        <v>5526</v>
      </c>
      <c r="D229" s="6">
        <v>5277</v>
      </c>
      <c r="E229" s="11">
        <v>1510</v>
      </c>
    </row>
    <row r="230" spans="1:5" ht="15" x14ac:dyDescent="0.2">
      <c r="A230" s="7" t="s">
        <v>609</v>
      </c>
      <c r="B230" s="8">
        <v>2190</v>
      </c>
      <c r="C230" s="8">
        <v>1726</v>
      </c>
      <c r="D230" s="8">
        <v>1835</v>
      </c>
      <c r="E230" s="11">
        <v>1511</v>
      </c>
    </row>
    <row r="231" spans="1:5" ht="15" x14ac:dyDescent="0.2">
      <c r="A231" s="5" t="s">
        <v>610</v>
      </c>
      <c r="B231" s="6">
        <v>6494</v>
      </c>
      <c r="C231" s="6">
        <v>4921</v>
      </c>
      <c r="D231" s="6">
        <v>5217</v>
      </c>
      <c r="E231" s="11">
        <v>1512</v>
      </c>
    </row>
    <row r="232" spans="1:5" ht="15" x14ac:dyDescent="0.2">
      <c r="A232" s="7" t="s">
        <v>611</v>
      </c>
      <c r="B232" s="8">
        <v>1191</v>
      </c>
      <c r="C232" s="8">
        <v>848</v>
      </c>
      <c r="D232" s="8">
        <v>760</v>
      </c>
      <c r="E232" s="11">
        <v>1513</v>
      </c>
    </row>
    <row r="233" spans="1:5" ht="15" x14ac:dyDescent="0.2">
      <c r="A233" s="5" t="s">
        <v>612</v>
      </c>
      <c r="B233" s="6">
        <v>443</v>
      </c>
      <c r="C233" s="6">
        <v>326</v>
      </c>
      <c r="D233" s="6">
        <v>376</v>
      </c>
      <c r="E233" s="11">
        <v>1601</v>
      </c>
    </row>
    <row r="234" spans="1:5" ht="15" x14ac:dyDescent="0.2">
      <c r="A234" s="7" t="s">
        <v>613</v>
      </c>
      <c r="B234" s="8">
        <v>554</v>
      </c>
      <c r="C234" s="8">
        <v>442</v>
      </c>
      <c r="D234" s="8">
        <v>404</v>
      </c>
      <c r="E234" s="11">
        <v>1602</v>
      </c>
    </row>
    <row r="235" spans="1:5" ht="15" x14ac:dyDescent="0.2">
      <c r="A235" s="5" t="s">
        <v>614</v>
      </c>
      <c r="B235" s="6">
        <v>119</v>
      </c>
      <c r="C235" s="6">
        <v>90</v>
      </c>
      <c r="D235" s="6">
        <v>72</v>
      </c>
      <c r="E235" s="11">
        <v>1603</v>
      </c>
    </row>
    <row r="236" spans="1:5" ht="15" x14ac:dyDescent="0.2">
      <c r="A236" s="7" t="s">
        <v>615</v>
      </c>
      <c r="B236" s="8">
        <v>435</v>
      </c>
      <c r="C236" s="8">
        <v>370</v>
      </c>
      <c r="D236" s="8">
        <v>344</v>
      </c>
      <c r="E236" s="11">
        <v>1604</v>
      </c>
    </row>
    <row r="237" spans="1:5" ht="15" x14ac:dyDescent="0.2">
      <c r="A237" s="5" t="s">
        <v>616</v>
      </c>
      <c r="B237" s="6">
        <v>297</v>
      </c>
      <c r="C237" s="6">
        <v>298</v>
      </c>
      <c r="D237" s="6">
        <v>296</v>
      </c>
      <c r="E237" s="11">
        <v>1605</v>
      </c>
    </row>
    <row r="238" spans="1:5" ht="15" x14ac:dyDescent="0.2">
      <c r="A238" s="7" t="s">
        <v>617</v>
      </c>
      <c r="B238" s="8">
        <v>322</v>
      </c>
      <c r="C238" s="8">
        <v>178</v>
      </c>
      <c r="D238" s="8">
        <v>209</v>
      </c>
      <c r="E238" s="11">
        <v>1606</v>
      </c>
    </row>
    <row r="239" spans="1:5" ht="15" x14ac:dyDescent="0.2">
      <c r="A239" s="5" t="s">
        <v>618</v>
      </c>
      <c r="B239" s="6">
        <v>1432</v>
      </c>
      <c r="C239" s="6">
        <v>834</v>
      </c>
      <c r="D239" s="6">
        <v>917</v>
      </c>
      <c r="E239" s="11">
        <v>1607</v>
      </c>
    </row>
    <row r="240" spans="1:5" ht="15" x14ac:dyDescent="0.2">
      <c r="A240" s="7" t="s">
        <v>619</v>
      </c>
      <c r="B240" s="8">
        <v>563</v>
      </c>
      <c r="C240" s="8">
        <v>431</v>
      </c>
      <c r="D240" s="8">
        <v>459</v>
      </c>
      <c r="E240" s="11">
        <v>1608</v>
      </c>
    </row>
    <row r="241" spans="1:5" ht="15" x14ac:dyDescent="0.2">
      <c r="A241" s="5" t="s">
        <v>620</v>
      </c>
      <c r="B241" s="6">
        <v>3606</v>
      </c>
      <c r="C241" s="6">
        <v>2526</v>
      </c>
      <c r="D241" s="6">
        <v>2623</v>
      </c>
      <c r="E241" s="11">
        <v>1609</v>
      </c>
    </row>
    <row r="242" spans="1:5" ht="15" x14ac:dyDescent="0.2">
      <c r="A242" s="7" t="s">
        <v>621</v>
      </c>
      <c r="B242" s="8">
        <v>315</v>
      </c>
      <c r="C242" s="8">
        <v>259</v>
      </c>
      <c r="D242" s="8">
        <v>290</v>
      </c>
      <c r="E242" s="11">
        <v>1610</v>
      </c>
    </row>
    <row r="243" spans="1:5" ht="15" x14ac:dyDescent="0.2">
      <c r="A243" s="5" t="s">
        <v>622</v>
      </c>
      <c r="B243" s="6">
        <v>324</v>
      </c>
      <c r="C243" s="6">
        <v>272</v>
      </c>
      <c r="D243" s="6">
        <v>215</v>
      </c>
      <c r="E243" s="11">
        <v>1701</v>
      </c>
    </row>
    <row r="244" spans="1:5" ht="15" x14ac:dyDescent="0.2">
      <c r="A244" s="7" t="s">
        <v>623</v>
      </c>
      <c r="B244" s="8">
        <v>122</v>
      </c>
      <c r="C244" s="8">
        <v>83</v>
      </c>
      <c r="D244" s="8">
        <v>55</v>
      </c>
      <c r="E244" s="11">
        <v>1702</v>
      </c>
    </row>
    <row r="245" spans="1:5" ht="15" x14ac:dyDescent="0.2">
      <c r="A245" s="5" t="s">
        <v>624</v>
      </c>
      <c r="B245" s="6">
        <v>1363</v>
      </c>
      <c r="C245" s="6">
        <v>1066</v>
      </c>
      <c r="D245" s="6">
        <v>820</v>
      </c>
      <c r="E245" s="11">
        <v>1703</v>
      </c>
    </row>
    <row r="246" spans="1:5" ht="15" x14ac:dyDescent="0.2">
      <c r="A246" s="7" t="s">
        <v>625</v>
      </c>
      <c r="B246" s="8">
        <v>152</v>
      </c>
      <c r="C246" s="8">
        <v>108</v>
      </c>
      <c r="D246" s="8">
        <v>69</v>
      </c>
      <c r="E246" s="11">
        <v>1704</v>
      </c>
    </row>
    <row r="247" spans="1:5" ht="15" x14ac:dyDescent="0.2">
      <c r="A247" s="5" t="s">
        <v>626</v>
      </c>
      <c r="B247" s="6">
        <v>209</v>
      </c>
      <c r="C247" s="6">
        <v>136</v>
      </c>
      <c r="D247" s="6">
        <v>110</v>
      </c>
      <c r="E247" s="11">
        <v>1705</v>
      </c>
    </row>
    <row r="248" spans="1:5" ht="15" x14ac:dyDescent="0.2">
      <c r="A248" s="7" t="s">
        <v>627</v>
      </c>
      <c r="B248" s="8">
        <v>270</v>
      </c>
      <c r="C248" s="8">
        <v>157</v>
      </c>
      <c r="D248" s="8">
        <v>125</v>
      </c>
      <c r="E248" s="11">
        <v>1706</v>
      </c>
    </row>
    <row r="249" spans="1:5" ht="15" x14ac:dyDescent="0.2">
      <c r="A249" s="5" t="s">
        <v>628</v>
      </c>
      <c r="B249" s="6">
        <v>167</v>
      </c>
      <c r="C249" s="6">
        <v>130</v>
      </c>
      <c r="D249" s="6">
        <v>106</v>
      </c>
      <c r="E249" s="11">
        <v>1707</v>
      </c>
    </row>
    <row r="250" spans="1:5" ht="15" x14ac:dyDescent="0.2">
      <c r="A250" s="7" t="s">
        <v>629</v>
      </c>
      <c r="B250" s="8">
        <v>676</v>
      </c>
      <c r="C250" s="8">
        <v>482</v>
      </c>
      <c r="D250" s="8">
        <v>378</v>
      </c>
      <c r="E250" s="11">
        <v>1708</v>
      </c>
    </row>
    <row r="251" spans="1:5" ht="15" x14ac:dyDescent="0.2">
      <c r="A251" s="5" t="s">
        <v>630</v>
      </c>
      <c r="B251" s="6">
        <v>151</v>
      </c>
      <c r="C251" s="6">
        <v>117</v>
      </c>
      <c r="D251" s="6">
        <v>156</v>
      </c>
      <c r="E251" s="11">
        <v>1709</v>
      </c>
    </row>
    <row r="252" spans="1:5" ht="15" x14ac:dyDescent="0.2">
      <c r="A252" s="7" t="s">
        <v>631</v>
      </c>
      <c r="B252" s="8">
        <v>216</v>
      </c>
      <c r="C252" s="8">
        <v>147</v>
      </c>
      <c r="D252" s="8">
        <v>128</v>
      </c>
      <c r="E252" s="11">
        <v>1710</v>
      </c>
    </row>
    <row r="253" spans="1:5" ht="15" x14ac:dyDescent="0.2">
      <c r="A253" s="5" t="s">
        <v>632</v>
      </c>
      <c r="B253" s="6">
        <v>283</v>
      </c>
      <c r="C253" s="6">
        <v>236</v>
      </c>
      <c r="D253" s="6">
        <v>165</v>
      </c>
      <c r="E253" s="11">
        <v>1711</v>
      </c>
    </row>
    <row r="254" spans="1:5" ht="15" x14ac:dyDescent="0.2">
      <c r="A254" s="7" t="s">
        <v>633</v>
      </c>
      <c r="B254" s="8">
        <v>321</v>
      </c>
      <c r="C254" s="8">
        <v>242</v>
      </c>
      <c r="D254" s="8">
        <v>205</v>
      </c>
      <c r="E254" s="11">
        <v>1712</v>
      </c>
    </row>
    <row r="255" spans="1:5" ht="15" x14ac:dyDescent="0.2">
      <c r="A255" s="5" t="s">
        <v>634</v>
      </c>
      <c r="B255" s="6">
        <v>361</v>
      </c>
      <c r="C255" s="6">
        <v>282</v>
      </c>
      <c r="D255" s="6">
        <v>278</v>
      </c>
      <c r="E255" s="11">
        <v>1713</v>
      </c>
    </row>
    <row r="256" spans="1:5" ht="15" x14ac:dyDescent="0.2">
      <c r="A256" s="7" t="s">
        <v>635</v>
      </c>
      <c r="B256" s="8">
        <v>1957</v>
      </c>
      <c r="C256" s="8">
        <v>1511</v>
      </c>
      <c r="D256" s="8">
        <v>1334</v>
      </c>
      <c r="E256" s="11">
        <v>1714</v>
      </c>
    </row>
    <row r="257" spans="1:5" ht="15" x14ac:dyDescent="0.2">
      <c r="A257" s="5" t="s">
        <v>636</v>
      </c>
      <c r="B257" s="6">
        <v>192</v>
      </c>
      <c r="C257" s="6">
        <v>137</v>
      </c>
      <c r="D257" s="6">
        <v>144</v>
      </c>
      <c r="E257" s="11">
        <v>1801</v>
      </c>
    </row>
    <row r="258" spans="1:5" ht="15" x14ac:dyDescent="0.2">
      <c r="A258" s="7" t="s">
        <v>637</v>
      </c>
      <c r="B258" s="8">
        <v>336</v>
      </c>
      <c r="C258" s="8">
        <v>220</v>
      </c>
      <c r="D258" s="8">
        <v>249</v>
      </c>
      <c r="E258" s="11">
        <v>1802</v>
      </c>
    </row>
    <row r="259" spans="1:5" ht="15" x14ac:dyDescent="0.2">
      <c r="A259" s="5" t="s">
        <v>638</v>
      </c>
      <c r="B259" s="6">
        <v>697</v>
      </c>
      <c r="C259" s="6">
        <v>462</v>
      </c>
      <c r="D259" s="6">
        <v>387</v>
      </c>
      <c r="E259" s="11">
        <v>1803</v>
      </c>
    </row>
    <row r="260" spans="1:5" ht="15" x14ac:dyDescent="0.2">
      <c r="A260" s="7" t="s">
        <v>639</v>
      </c>
      <c r="B260" s="8">
        <v>1329</v>
      </c>
      <c r="C260" s="8">
        <v>643</v>
      </c>
      <c r="D260" s="8">
        <v>566</v>
      </c>
      <c r="E260" s="11">
        <v>1804</v>
      </c>
    </row>
    <row r="261" spans="1:5" ht="15" x14ac:dyDescent="0.2">
      <c r="A261" s="5" t="s">
        <v>640</v>
      </c>
      <c r="B261" s="6">
        <v>1478</v>
      </c>
      <c r="C261" s="6">
        <v>1073</v>
      </c>
      <c r="D261" s="6">
        <v>839</v>
      </c>
      <c r="E261" s="11">
        <v>1805</v>
      </c>
    </row>
    <row r="262" spans="1:5" ht="15" x14ac:dyDescent="0.2">
      <c r="A262" s="7" t="s">
        <v>641</v>
      </c>
      <c r="B262" s="8">
        <v>758</v>
      </c>
      <c r="C262" s="8">
        <v>516</v>
      </c>
      <c r="D262" s="8">
        <v>601</v>
      </c>
      <c r="E262" s="11">
        <v>1806</v>
      </c>
    </row>
    <row r="263" spans="1:5" ht="15" x14ac:dyDescent="0.2">
      <c r="A263" s="5" t="s">
        <v>642</v>
      </c>
      <c r="B263" s="6">
        <v>278</v>
      </c>
      <c r="C263" s="6">
        <v>232</v>
      </c>
      <c r="D263" s="6">
        <v>225</v>
      </c>
      <c r="E263" s="11">
        <v>1807</v>
      </c>
    </row>
    <row r="264" spans="1:5" ht="15" x14ac:dyDescent="0.2">
      <c r="A264" s="9" t="s">
        <v>643</v>
      </c>
      <c r="B264" s="8">
        <v>271</v>
      </c>
      <c r="C264" s="8">
        <v>174</v>
      </c>
      <c r="D264" s="8">
        <v>161</v>
      </c>
      <c r="E264" s="11">
        <v>1808</v>
      </c>
    </row>
    <row r="265" spans="1:5" ht="15" x14ac:dyDescent="0.2">
      <c r="A265" s="5" t="s">
        <v>644</v>
      </c>
      <c r="B265" s="6">
        <v>530</v>
      </c>
      <c r="C265" s="6">
        <v>476</v>
      </c>
      <c r="D265" s="6">
        <v>418</v>
      </c>
      <c r="E265" s="11">
        <v>1809</v>
      </c>
    </row>
    <row r="266" spans="1:5" ht="15" x14ac:dyDescent="0.2">
      <c r="A266" s="7" t="s">
        <v>645</v>
      </c>
      <c r="B266" s="8">
        <v>432</v>
      </c>
      <c r="C266" s="8">
        <v>382</v>
      </c>
      <c r="D266" s="8">
        <v>305</v>
      </c>
      <c r="E266" s="11">
        <v>1810</v>
      </c>
    </row>
    <row r="267" spans="1:5" ht="15" x14ac:dyDescent="0.2">
      <c r="A267" s="5" t="s">
        <v>646</v>
      </c>
      <c r="B267" s="6">
        <v>304</v>
      </c>
      <c r="C267" s="6">
        <v>179</v>
      </c>
      <c r="D267" s="6">
        <v>204</v>
      </c>
      <c r="E267" s="11">
        <v>1811</v>
      </c>
    </row>
    <row r="268" spans="1:5" ht="15" x14ac:dyDescent="0.2">
      <c r="A268" s="7" t="s">
        <v>647</v>
      </c>
      <c r="B268" s="8">
        <v>67</v>
      </c>
      <c r="C268" s="8">
        <v>42</v>
      </c>
      <c r="D268" s="8">
        <v>37</v>
      </c>
      <c r="E268" s="11">
        <v>1812</v>
      </c>
    </row>
    <row r="269" spans="1:5" ht="15" x14ac:dyDescent="0.2">
      <c r="A269" s="5" t="s">
        <v>648</v>
      </c>
      <c r="B269" s="6">
        <v>353</v>
      </c>
      <c r="C269" s="6">
        <v>278</v>
      </c>
      <c r="D269" s="6">
        <v>219</v>
      </c>
      <c r="E269" s="11">
        <v>1813</v>
      </c>
    </row>
    <row r="270" spans="1:5" ht="15" x14ac:dyDescent="0.2">
      <c r="A270" s="7" t="s">
        <v>649</v>
      </c>
      <c r="B270" s="8">
        <v>406</v>
      </c>
      <c r="C270" s="8">
        <v>235</v>
      </c>
      <c r="D270" s="8">
        <v>294</v>
      </c>
      <c r="E270" s="11">
        <v>1814</v>
      </c>
    </row>
    <row r="271" spans="1:5" ht="15" x14ac:dyDescent="0.2">
      <c r="A271" s="5" t="s">
        <v>650</v>
      </c>
      <c r="B271" s="6">
        <v>170</v>
      </c>
      <c r="C271" s="6">
        <v>118</v>
      </c>
      <c r="D271" s="6">
        <v>100</v>
      </c>
      <c r="E271" s="11">
        <v>1815</v>
      </c>
    </row>
    <row r="272" spans="1:5" ht="15" x14ac:dyDescent="0.2">
      <c r="A272" s="7" t="s">
        <v>651</v>
      </c>
      <c r="B272" s="8">
        <v>752</v>
      </c>
      <c r="C272" s="8">
        <v>612</v>
      </c>
      <c r="D272" s="8">
        <v>501</v>
      </c>
      <c r="E272" s="11">
        <v>1816</v>
      </c>
    </row>
    <row r="273" spans="1:5" ht="15" x14ac:dyDescent="0.2">
      <c r="A273" s="5" t="s">
        <v>652</v>
      </c>
      <c r="B273" s="6">
        <v>412</v>
      </c>
      <c r="C273" s="6">
        <v>324</v>
      </c>
      <c r="D273" s="6">
        <v>325</v>
      </c>
      <c r="E273" s="11">
        <v>1817</v>
      </c>
    </row>
    <row r="274" spans="1:5" ht="15" x14ac:dyDescent="0.2">
      <c r="A274" s="7" t="s">
        <v>653</v>
      </c>
      <c r="B274" s="8">
        <v>138</v>
      </c>
      <c r="C274" s="8">
        <v>95</v>
      </c>
      <c r="D274" s="8">
        <v>71</v>
      </c>
      <c r="E274" s="11">
        <v>1818</v>
      </c>
    </row>
    <row r="275" spans="1:5" ht="15" x14ac:dyDescent="0.2">
      <c r="A275" s="5" t="s">
        <v>654</v>
      </c>
      <c r="B275" s="6">
        <v>215</v>
      </c>
      <c r="C275" s="6">
        <v>142</v>
      </c>
      <c r="D275" s="6">
        <v>112</v>
      </c>
      <c r="E275" s="11">
        <v>1819</v>
      </c>
    </row>
    <row r="276" spans="1:5" ht="15" x14ac:dyDescent="0.2">
      <c r="A276" s="7" t="s">
        <v>655</v>
      </c>
      <c r="B276" s="8">
        <v>319</v>
      </c>
      <c r="C276" s="8">
        <v>250</v>
      </c>
      <c r="D276" s="8">
        <v>220</v>
      </c>
      <c r="E276" s="11">
        <v>1820</v>
      </c>
    </row>
    <row r="277" spans="1:5" ht="15" x14ac:dyDescent="0.2">
      <c r="A277" s="5" t="s">
        <v>656</v>
      </c>
      <c r="B277" s="6">
        <v>917</v>
      </c>
      <c r="C277" s="6">
        <v>607</v>
      </c>
      <c r="D277" s="6">
        <v>657</v>
      </c>
      <c r="E277" s="11">
        <v>1821</v>
      </c>
    </row>
    <row r="278" spans="1:5" ht="15" x14ac:dyDescent="0.2">
      <c r="A278" s="7" t="s">
        <v>657</v>
      </c>
      <c r="B278" s="8">
        <v>235</v>
      </c>
      <c r="C278" s="8">
        <v>189</v>
      </c>
      <c r="D278" s="8">
        <v>142</v>
      </c>
      <c r="E278" s="11">
        <v>1822</v>
      </c>
    </row>
    <row r="279" spans="1:5" ht="15" x14ac:dyDescent="0.2">
      <c r="A279" s="5" t="s">
        <v>658</v>
      </c>
      <c r="B279" s="6">
        <v>3845</v>
      </c>
      <c r="C279" s="6">
        <v>2763</v>
      </c>
      <c r="D279" s="6">
        <v>2870</v>
      </c>
      <c r="E279" s="11">
        <v>1823</v>
      </c>
    </row>
    <row r="280" spans="1:5" ht="15" x14ac:dyDescent="0.2">
      <c r="A280" s="7" t="s">
        <v>659</v>
      </c>
      <c r="B280" s="8">
        <v>415</v>
      </c>
      <c r="C280" s="8">
        <v>334</v>
      </c>
      <c r="D280" s="8">
        <v>321</v>
      </c>
      <c r="E280" s="11">
        <v>1824</v>
      </c>
    </row>
    <row r="281" spans="1:5" ht="15" x14ac:dyDescent="0.2">
      <c r="A281" s="2"/>
      <c r="B281" s="2"/>
      <c r="C281" s="2"/>
      <c r="D281" s="2"/>
    </row>
    <row r="282" spans="1:5" ht="15" x14ac:dyDescent="0.2">
      <c r="A282" s="2"/>
      <c r="B282" s="2"/>
      <c r="C282" s="2"/>
      <c r="D282" s="2"/>
    </row>
    <row r="283" spans="1:5" ht="15" x14ac:dyDescent="0.2">
      <c r="A283" s="2"/>
      <c r="B283" s="2"/>
      <c r="C283" s="2"/>
      <c r="D283" s="2"/>
    </row>
    <row r="284" spans="1:5" ht="15" x14ac:dyDescent="0.2">
      <c r="A284" s="2"/>
      <c r="B284" s="2"/>
      <c r="C284" s="2"/>
      <c r="D284" s="2"/>
    </row>
    <row r="285" spans="1:5" ht="15" x14ac:dyDescent="0.2">
      <c r="A285" s="2"/>
      <c r="B285" s="2"/>
      <c r="C285" s="2"/>
      <c r="D285" s="2"/>
    </row>
    <row r="286" spans="1:5" ht="15" x14ac:dyDescent="0.2">
      <c r="A286" s="2"/>
      <c r="B286" s="2"/>
      <c r="C286" s="2"/>
      <c r="D286" s="2"/>
    </row>
    <row r="287" spans="1:5" ht="15" x14ac:dyDescent="0.2">
      <c r="A287" s="2"/>
      <c r="B287" s="2"/>
      <c r="C287" s="2"/>
      <c r="D287" s="2"/>
    </row>
    <row r="288" spans="1:5" ht="15" x14ac:dyDescent="0.2">
      <c r="A288" s="2"/>
      <c r="B288" s="2"/>
      <c r="C288" s="2"/>
      <c r="D288" s="2"/>
    </row>
    <row r="289" spans="1:4" ht="15" x14ac:dyDescent="0.2">
      <c r="A289" s="2"/>
      <c r="B289" s="2"/>
      <c r="C289" s="2"/>
      <c r="D289" s="2"/>
    </row>
    <row r="290" spans="1:4" ht="15" x14ac:dyDescent="0.2">
      <c r="A290" s="2"/>
      <c r="B290" s="2"/>
      <c r="C290" s="2"/>
      <c r="D290" s="2"/>
    </row>
    <row r="291" spans="1:4" ht="15" x14ac:dyDescent="0.2">
      <c r="A291" s="2"/>
      <c r="B291" s="2"/>
      <c r="C291" s="2"/>
      <c r="D291" s="2"/>
    </row>
    <row r="292" spans="1:4" ht="15" x14ac:dyDescent="0.2">
      <c r="A292" s="2"/>
      <c r="B292" s="2"/>
      <c r="C292" s="2"/>
      <c r="D292" s="2"/>
    </row>
    <row r="293" spans="1:4" ht="15" x14ac:dyDescent="0.2">
      <c r="A293" s="2"/>
      <c r="B293" s="2"/>
      <c r="C293" s="2"/>
      <c r="D293" s="2"/>
    </row>
    <row r="294" spans="1:4" ht="15" x14ac:dyDescent="0.2">
      <c r="A294" s="2"/>
      <c r="B294" s="2"/>
      <c r="C294" s="2"/>
      <c r="D294" s="2"/>
    </row>
    <row r="295" spans="1:4" ht="15" x14ac:dyDescent="0.2">
      <c r="A295" s="2"/>
      <c r="B295" s="2"/>
      <c r="C295" s="2"/>
      <c r="D295" s="2"/>
    </row>
    <row r="296" spans="1:4" ht="15" x14ac:dyDescent="0.2">
      <c r="A296" s="2"/>
      <c r="B296" s="2"/>
      <c r="C296" s="2"/>
      <c r="D296" s="2"/>
    </row>
    <row r="297" spans="1:4" ht="15" x14ac:dyDescent="0.2">
      <c r="A297" s="2"/>
      <c r="B297" s="2"/>
      <c r="C297" s="2"/>
      <c r="D297" s="2"/>
    </row>
    <row r="298" spans="1:4" ht="15" x14ac:dyDescent="0.2">
      <c r="A298" s="2"/>
      <c r="B298" s="2"/>
      <c r="C298" s="2"/>
      <c r="D298" s="2"/>
    </row>
    <row r="299" spans="1:4" ht="15" x14ac:dyDescent="0.2">
      <c r="A299" s="2"/>
      <c r="B299" s="2"/>
      <c r="C299" s="2"/>
      <c r="D299" s="2"/>
    </row>
    <row r="300" spans="1:4" ht="15" x14ac:dyDescent="0.2">
      <c r="A300" s="2"/>
      <c r="B300" s="2"/>
      <c r="C300" s="2"/>
      <c r="D300" s="2"/>
    </row>
    <row r="301" spans="1:4" ht="15" x14ac:dyDescent="0.2">
      <c r="A301" s="2"/>
      <c r="B301" s="2"/>
      <c r="C301" s="2"/>
      <c r="D301" s="2"/>
    </row>
    <row r="302" spans="1:4" ht="15" x14ac:dyDescent="0.2">
      <c r="A302" s="2"/>
      <c r="B302" s="2"/>
      <c r="C302" s="2"/>
      <c r="D302" s="2"/>
    </row>
    <row r="303" spans="1:4" ht="15" x14ac:dyDescent="0.2">
      <c r="A303" s="2"/>
      <c r="B303" s="2"/>
      <c r="C303" s="2"/>
      <c r="D303" s="2"/>
    </row>
    <row r="304" spans="1:4" ht="15" x14ac:dyDescent="0.2">
      <c r="A304" s="2"/>
      <c r="B304" s="2"/>
      <c r="C304" s="2"/>
      <c r="D304" s="2"/>
    </row>
    <row r="305" spans="1:4" ht="15" x14ac:dyDescent="0.2">
      <c r="A305" s="2"/>
      <c r="B305" s="2"/>
      <c r="C305" s="2"/>
      <c r="D305" s="2"/>
    </row>
    <row r="306" spans="1:4" ht="15" x14ac:dyDescent="0.2">
      <c r="A306" s="2"/>
      <c r="B306" s="2"/>
      <c r="C306" s="2"/>
      <c r="D306" s="2"/>
    </row>
    <row r="307" spans="1:4" ht="15" x14ac:dyDescent="0.2">
      <c r="A307" s="2"/>
      <c r="B307" s="2"/>
      <c r="C307" s="2"/>
      <c r="D307" s="2"/>
    </row>
    <row r="308" spans="1:4" ht="15" x14ac:dyDescent="0.2">
      <c r="A308" s="2"/>
      <c r="B308" s="2"/>
      <c r="C308" s="2"/>
      <c r="D308" s="2"/>
    </row>
    <row r="309" spans="1:4" ht="15" x14ac:dyDescent="0.2">
      <c r="A309" s="2"/>
      <c r="B309" s="2"/>
      <c r="C309" s="2"/>
      <c r="D309" s="2"/>
    </row>
    <row r="310" spans="1:4" ht="15" x14ac:dyDescent="0.2">
      <c r="A310" s="2"/>
      <c r="B310" s="2"/>
      <c r="C310" s="2"/>
      <c r="D3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3312-2D9A-4767-AFA1-D2093DEB2351}">
  <dimension ref="A1:D280"/>
  <sheetViews>
    <sheetView topLeftCell="A253" workbookViewId="0">
      <selection activeCell="B3" sqref="B3:B280"/>
    </sheetView>
  </sheetViews>
  <sheetFormatPr baseColWidth="10" defaultColWidth="8.83203125" defaultRowHeight="13" x14ac:dyDescent="0.15"/>
  <cols>
    <col min="1" max="1" width="36.5" bestFit="1" customWidth="1"/>
    <col min="2" max="3" width="13.5" bestFit="1" customWidth="1"/>
    <col min="4" max="4" width="10.1640625" style="12" bestFit="1" customWidth="1"/>
  </cols>
  <sheetData>
    <row r="1" spans="1:4" ht="38" x14ac:dyDescent="0.2">
      <c r="A1" s="13" t="s">
        <v>660</v>
      </c>
    </row>
    <row r="2" spans="1:4" ht="15" x14ac:dyDescent="0.2">
      <c r="A2" s="3" t="s">
        <v>661</v>
      </c>
      <c r="B2" s="4" t="s">
        <v>662</v>
      </c>
      <c r="C2" s="4" t="s">
        <v>663</v>
      </c>
      <c r="D2" s="14" t="s">
        <v>664</v>
      </c>
    </row>
    <row r="3" spans="1:4" ht="15" x14ac:dyDescent="0.2">
      <c r="A3" s="5" t="s">
        <v>382</v>
      </c>
      <c r="B3" s="6">
        <v>17.600000000000001</v>
      </c>
      <c r="C3" s="6">
        <v>18.100000000000001</v>
      </c>
      <c r="D3" s="15">
        <v>101</v>
      </c>
    </row>
    <row r="4" spans="1:4" ht="15" x14ac:dyDescent="0.2">
      <c r="A4" s="7" t="s">
        <v>383</v>
      </c>
      <c r="B4" s="8">
        <v>16</v>
      </c>
      <c r="C4" s="8">
        <v>17.899999999999999</v>
      </c>
      <c r="D4" s="16">
        <v>102</v>
      </c>
    </row>
    <row r="5" spans="1:4" ht="15" x14ac:dyDescent="0.2">
      <c r="A5" s="5" t="s">
        <v>384</v>
      </c>
      <c r="B5" s="6">
        <v>17.600000000000001</v>
      </c>
      <c r="C5" s="6">
        <v>18</v>
      </c>
      <c r="D5" s="15">
        <v>103</v>
      </c>
    </row>
    <row r="6" spans="1:4" ht="15" x14ac:dyDescent="0.2">
      <c r="A6" s="7" t="s">
        <v>385</v>
      </c>
      <c r="B6" s="8">
        <v>12.3</v>
      </c>
      <c r="C6" s="8">
        <v>13.4</v>
      </c>
      <c r="D6" s="16">
        <v>104</v>
      </c>
    </row>
    <row r="7" spans="1:4" ht="15" x14ac:dyDescent="0.2">
      <c r="A7" s="5" t="s">
        <v>386</v>
      </c>
      <c r="B7" s="6">
        <v>28</v>
      </c>
      <c r="C7" s="6">
        <v>30.5</v>
      </c>
      <c r="D7" s="15">
        <v>105</v>
      </c>
    </row>
    <row r="8" spans="1:4" ht="15" x14ac:dyDescent="0.2">
      <c r="A8" s="7" t="s">
        <v>387</v>
      </c>
      <c r="B8" s="8">
        <v>8.1999999999999993</v>
      </c>
      <c r="C8" s="8">
        <v>9</v>
      </c>
      <c r="D8" s="16">
        <v>106</v>
      </c>
    </row>
    <row r="9" spans="1:4" ht="15" x14ac:dyDescent="0.2">
      <c r="A9" s="5" t="s">
        <v>388</v>
      </c>
      <c r="B9" s="6">
        <v>17.899999999999999</v>
      </c>
      <c r="C9" s="6">
        <v>20.9</v>
      </c>
      <c r="D9" s="15">
        <v>107</v>
      </c>
    </row>
    <row r="10" spans="1:4" ht="15" x14ac:dyDescent="0.2">
      <c r="A10" s="7" t="s">
        <v>389</v>
      </c>
      <c r="B10" s="8">
        <v>15.7</v>
      </c>
      <c r="C10" s="8">
        <v>16.399999999999999</v>
      </c>
      <c r="D10" s="16">
        <v>108</v>
      </c>
    </row>
    <row r="11" spans="1:4" ht="15" x14ac:dyDescent="0.2">
      <c r="A11" s="5" t="s">
        <v>390</v>
      </c>
      <c r="B11" s="6">
        <v>14.8</v>
      </c>
      <c r="C11" s="6">
        <v>16.600000000000001</v>
      </c>
      <c r="D11" s="15">
        <v>109</v>
      </c>
    </row>
    <row r="12" spans="1:4" ht="15" x14ac:dyDescent="0.2">
      <c r="A12" s="7" t="s">
        <v>391</v>
      </c>
      <c r="B12" s="8">
        <v>21.6</v>
      </c>
      <c r="C12" s="8">
        <v>26.1</v>
      </c>
      <c r="D12" s="16">
        <v>110</v>
      </c>
    </row>
    <row r="13" spans="1:4" ht="15" x14ac:dyDescent="0.2">
      <c r="A13" s="5" t="s">
        <v>392</v>
      </c>
      <c r="B13" s="6">
        <v>16.100000000000001</v>
      </c>
      <c r="C13" s="6">
        <v>17.600000000000001</v>
      </c>
      <c r="D13" s="15">
        <v>111</v>
      </c>
    </row>
    <row r="14" spans="1:4" ht="15" x14ac:dyDescent="0.2">
      <c r="A14" s="7" t="s">
        <v>393</v>
      </c>
      <c r="B14" s="8">
        <v>13.5</v>
      </c>
      <c r="C14" s="8">
        <v>15.5</v>
      </c>
      <c r="D14" s="16">
        <v>112</v>
      </c>
    </row>
    <row r="15" spans="1:4" ht="15" x14ac:dyDescent="0.2">
      <c r="A15" s="5" t="s">
        <v>394</v>
      </c>
      <c r="B15" s="6">
        <v>13.1</v>
      </c>
      <c r="C15" s="6">
        <v>14.6</v>
      </c>
      <c r="D15" s="15">
        <v>113</v>
      </c>
    </row>
    <row r="16" spans="1:4" ht="15" x14ac:dyDescent="0.2">
      <c r="A16" s="7" t="s">
        <v>395</v>
      </c>
      <c r="B16" s="8">
        <v>17.2</v>
      </c>
      <c r="C16" s="8">
        <v>18.5</v>
      </c>
      <c r="D16" s="16">
        <v>114</v>
      </c>
    </row>
    <row r="17" spans="1:4" ht="15" x14ac:dyDescent="0.2">
      <c r="A17" s="5" t="s">
        <v>396</v>
      </c>
      <c r="B17" s="6">
        <v>16.7</v>
      </c>
      <c r="C17" s="6">
        <v>18.8</v>
      </c>
      <c r="D17" s="15">
        <v>115</v>
      </c>
    </row>
    <row r="18" spans="1:4" ht="15" x14ac:dyDescent="0.2">
      <c r="A18" s="7" t="s">
        <v>397</v>
      </c>
      <c r="B18" s="8">
        <v>16.2</v>
      </c>
      <c r="C18" s="8">
        <v>18.3</v>
      </c>
      <c r="D18" s="16">
        <v>116</v>
      </c>
    </row>
    <row r="19" spans="1:4" ht="15" x14ac:dyDescent="0.2">
      <c r="A19" s="5" t="s">
        <v>398</v>
      </c>
      <c r="B19" s="6">
        <v>15.1</v>
      </c>
      <c r="C19" s="6">
        <v>16.100000000000001</v>
      </c>
      <c r="D19" s="15">
        <v>117</v>
      </c>
    </row>
    <row r="20" spans="1:4" ht="15" x14ac:dyDescent="0.2">
      <c r="A20" s="7" t="s">
        <v>399</v>
      </c>
      <c r="B20" s="8">
        <v>20</v>
      </c>
      <c r="C20" s="8">
        <v>21.9</v>
      </c>
      <c r="D20" s="16">
        <v>118</v>
      </c>
    </row>
    <row r="21" spans="1:4" ht="15" x14ac:dyDescent="0.2">
      <c r="A21" s="5" t="s">
        <v>400</v>
      </c>
      <c r="B21" s="6">
        <v>17.2</v>
      </c>
      <c r="C21" s="6">
        <v>18.5</v>
      </c>
      <c r="D21" s="15">
        <v>119</v>
      </c>
    </row>
    <row r="22" spans="1:4" ht="15" x14ac:dyDescent="0.2">
      <c r="A22" s="7" t="s">
        <v>401</v>
      </c>
      <c r="B22" s="8">
        <v>14.2</v>
      </c>
      <c r="C22" s="8">
        <v>15.4</v>
      </c>
      <c r="D22" s="16">
        <v>201</v>
      </c>
    </row>
    <row r="23" spans="1:4" ht="15" x14ac:dyDescent="0.2">
      <c r="A23" s="5" t="s">
        <v>402</v>
      </c>
      <c r="B23" s="6">
        <v>11.5</v>
      </c>
      <c r="C23" s="6">
        <v>10.7</v>
      </c>
      <c r="D23" s="15">
        <v>202</v>
      </c>
    </row>
    <row r="24" spans="1:4" ht="15" x14ac:dyDescent="0.2">
      <c r="A24" s="7" t="s">
        <v>403</v>
      </c>
      <c r="B24" s="8">
        <v>13.8</v>
      </c>
      <c r="C24" s="8">
        <v>8.6</v>
      </c>
      <c r="D24" s="16">
        <v>203</v>
      </c>
    </row>
    <row r="25" spans="1:4" ht="15" x14ac:dyDescent="0.2">
      <c r="A25" s="5" t="s">
        <v>404</v>
      </c>
      <c r="B25" s="6">
        <v>8.9</v>
      </c>
      <c r="C25" s="6">
        <v>9.9</v>
      </c>
      <c r="D25" s="15">
        <v>204</v>
      </c>
    </row>
    <row r="26" spans="1:4" ht="15" x14ac:dyDescent="0.2">
      <c r="A26" s="7" t="s">
        <v>405</v>
      </c>
      <c r="B26" s="8">
        <v>21.9</v>
      </c>
      <c r="C26" s="8">
        <v>22</v>
      </c>
      <c r="D26" s="16">
        <v>205</v>
      </c>
    </row>
    <row r="27" spans="1:4" ht="15" x14ac:dyDescent="0.2">
      <c r="A27" s="5" t="s">
        <v>406</v>
      </c>
      <c r="B27" s="6">
        <v>15.9</v>
      </c>
      <c r="C27" s="6">
        <v>15.5</v>
      </c>
      <c r="D27" s="15">
        <v>206</v>
      </c>
    </row>
    <row r="28" spans="1:4" ht="15" x14ac:dyDescent="0.2">
      <c r="A28" s="7" t="s">
        <v>407</v>
      </c>
      <c r="B28" s="8">
        <v>15.1</v>
      </c>
      <c r="C28" s="8">
        <v>18.399999999999999</v>
      </c>
      <c r="D28" s="16">
        <v>207</v>
      </c>
    </row>
    <row r="29" spans="1:4" ht="15" x14ac:dyDescent="0.2">
      <c r="A29" s="5" t="s">
        <v>408</v>
      </c>
      <c r="B29" s="6">
        <v>11.8</v>
      </c>
      <c r="C29" s="6">
        <v>13.6</v>
      </c>
      <c r="D29" s="15">
        <v>208</v>
      </c>
    </row>
    <row r="30" spans="1:4" ht="15" x14ac:dyDescent="0.2">
      <c r="A30" s="7" t="s">
        <v>409</v>
      </c>
      <c r="B30" s="8">
        <v>8.9</v>
      </c>
      <c r="C30" s="8">
        <v>11.5</v>
      </c>
      <c r="D30" s="16">
        <v>209</v>
      </c>
    </row>
    <row r="31" spans="1:4" ht="15" x14ac:dyDescent="0.2">
      <c r="A31" s="5" t="s">
        <v>410</v>
      </c>
      <c r="B31" s="6">
        <v>13.3</v>
      </c>
      <c r="C31" s="6">
        <v>14.1</v>
      </c>
      <c r="D31" s="15">
        <v>210</v>
      </c>
    </row>
    <row r="32" spans="1:4" ht="15" x14ac:dyDescent="0.2">
      <c r="A32" s="7" t="s">
        <v>411</v>
      </c>
      <c r="B32" s="8">
        <v>9.6</v>
      </c>
      <c r="C32" s="8">
        <v>8.6999999999999993</v>
      </c>
      <c r="D32" s="16">
        <v>211</v>
      </c>
    </row>
    <row r="33" spans="1:4" ht="15" x14ac:dyDescent="0.2">
      <c r="A33" s="5" t="s">
        <v>412</v>
      </c>
      <c r="B33" s="6">
        <v>9.6</v>
      </c>
      <c r="C33" s="6">
        <v>10.6</v>
      </c>
      <c r="D33" s="15">
        <v>212</v>
      </c>
    </row>
    <row r="34" spans="1:4" ht="15" x14ac:dyDescent="0.2">
      <c r="A34" s="7" t="s">
        <v>413</v>
      </c>
      <c r="B34" s="8">
        <v>11.3</v>
      </c>
      <c r="C34" s="8">
        <v>11.1</v>
      </c>
      <c r="D34" s="16">
        <v>213</v>
      </c>
    </row>
    <row r="35" spans="1:4" ht="15" x14ac:dyDescent="0.2">
      <c r="A35" s="5" t="s">
        <v>414</v>
      </c>
      <c r="B35" s="6">
        <v>13.3</v>
      </c>
      <c r="C35" s="6">
        <v>19.399999999999999</v>
      </c>
      <c r="D35" s="15">
        <v>214</v>
      </c>
    </row>
    <row r="36" spans="1:4" ht="15" x14ac:dyDescent="0.2">
      <c r="A36" s="7" t="s">
        <v>415</v>
      </c>
      <c r="B36" s="8">
        <v>9.6</v>
      </c>
      <c r="C36" s="8">
        <v>11.4</v>
      </c>
      <c r="D36" s="16">
        <v>301</v>
      </c>
    </row>
    <row r="37" spans="1:4" ht="15" x14ac:dyDescent="0.2">
      <c r="A37" s="5" t="s">
        <v>416</v>
      </c>
      <c r="B37" s="6">
        <v>12.2</v>
      </c>
      <c r="C37" s="6">
        <v>14.2</v>
      </c>
      <c r="D37" s="15">
        <v>302</v>
      </c>
    </row>
    <row r="38" spans="1:4" ht="15" x14ac:dyDescent="0.2">
      <c r="A38" s="7" t="s">
        <v>417</v>
      </c>
      <c r="B38" s="8">
        <v>25.9</v>
      </c>
      <c r="C38" s="8">
        <v>28.3</v>
      </c>
      <c r="D38" s="16">
        <v>303</v>
      </c>
    </row>
    <row r="39" spans="1:4" ht="15" x14ac:dyDescent="0.2">
      <c r="A39" s="5" t="s">
        <v>418</v>
      </c>
      <c r="B39" s="6">
        <v>11.6</v>
      </c>
      <c r="C39" s="6">
        <v>11.6</v>
      </c>
      <c r="D39" s="15">
        <v>304</v>
      </c>
    </row>
    <row r="40" spans="1:4" ht="15" x14ac:dyDescent="0.2">
      <c r="A40" s="7" t="s">
        <v>419</v>
      </c>
      <c r="B40" s="8">
        <v>9.6</v>
      </c>
      <c r="C40" s="8">
        <v>11.7</v>
      </c>
      <c r="D40" s="16">
        <v>305</v>
      </c>
    </row>
    <row r="41" spans="1:4" ht="15" x14ac:dyDescent="0.2">
      <c r="A41" s="5" t="s">
        <v>420</v>
      </c>
      <c r="B41" s="6">
        <v>15.1</v>
      </c>
      <c r="C41" s="6">
        <v>16.100000000000001</v>
      </c>
      <c r="D41" s="15">
        <v>306</v>
      </c>
    </row>
    <row r="42" spans="1:4" ht="15" x14ac:dyDescent="0.2">
      <c r="A42" s="7" t="s">
        <v>421</v>
      </c>
      <c r="B42" s="8">
        <v>10.3</v>
      </c>
      <c r="C42" s="8">
        <v>11.3</v>
      </c>
      <c r="D42" s="16">
        <v>307</v>
      </c>
    </row>
    <row r="43" spans="1:4" ht="15" x14ac:dyDescent="0.2">
      <c r="A43" s="5" t="s">
        <v>422</v>
      </c>
      <c r="B43" s="6">
        <v>13.8</v>
      </c>
      <c r="C43" s="6">
        <v>16.8</v>
      </c>
      <c r="D43" s="15">
        <v>308</v>
      </c>
    </row>
    <row r="44" spans="1:4" ht="15" x14ac:dyDescent="0.2">
      <c r="A44" s="7" t="s">
        <v>423</v>
      </c>
      <c r="B44" s="8">
        <v>11.4</v>
      </c>
      <c r="C44" s="8">
        <v>12.5</v>
      </c>
      <c r="D44" s="16">
        <v>309</v>
      </c>
    </row>
    <row r="45" spans="1:4" ht="15" x14ac:dyDescent="0.2">
      <c r="A45" s="5" t="s">
        <v>424</v>
      </c>
      <c r="B45" s="6">
        <v>13.6</v>
      </c>
      <c r="C45" s="6">
        <v>15.5</v>
      </c>
      <c r="D45" s="15">
        <v>310</v>
      </c>
    </row>
    <row r="46" spans="1:4" ht="15" x14ac:dyDescent="0.2">
      <c r="A46" s="7" t="s">
        <v>425</v>
      </c>
      <c r="B46" s="8">
        <v>9.4</v>
      </c>
      <c r="C46" s="8">
        <v>9.6999999999999993</v>
      </c>
      <c r="D46" s="16">
        <v>311</v>
      </c>
    </row>
    <row r="47" spans="1:4" ht="15" x14ac:dyDescent="0.2">
      <c r="A47" s="5" t="s">
        <v>426</v>
      </c>
      <c r="B47" s="6">
        <v>14.2</v>
      </c>
      <c r="C47" s="6">
        <v>16.2</v>
      </c>
      <c r="D47" s="15">
        <v>312</v>
      </c>
    </row>
    <row r="48" spans="1:4" ht="15" x14ac:dyDescent="0.2">
      <c r="A48" s="7" t="s">
        <v>427</v>
      </c>
      <c r="B48" s="8">
        <v>13.5</v>
      </c>
      <c r="C48" s="8">
        <v>14.5</v>
      </c>
      <c r="D48" s="16">
        <v>313</v>
      </c>
    </row>
    <row r="49" spans="1:4" ht="15" x14ac:dyDescent="0.2">
      <c r="A49" s="5" t="s">
        <v>428</v>
      </c>
      <c r="B49" s="6">
        <v>7.8</v>
      </c>
      <c r="C49" s="6">
        <v>8.9</v>
      </c>
      <c r="D49" s="15">
        <v>314</v>
      </c>
    </row>
    <row r="50" spans="1:4" ht="15" x14ac:dyDescent="0.2">
      <c r="A50" s="9" t="s">
        <v>429</v>
      </c>
      <c r="B50" s="8">
        <v>14.8</v>
      </c>
      <c r="C50" s="8">
        <v>18.7</v>
      </c>
      <c r="D50" s="16">
        <v>401</v>
      </c>
    </row>
    <row r="51" spans="1:4" ht="15" x14ac:dyDescent="0.2">
      <c r="A51" s="10" t="s">
        <v>430</v>
      </c>
      <c r="B51" s="6">
        <v>27.8</v>
      </c>
      <c r="C51" s="6">
        <v>30.4</v>
      </c>
      <c r="D51" s="15">
        <v>402</v>
      </c>
    </row>
    <row r="52" spans="1:4" ht="15" x14ac:dyDescent="0.2">
      <c r="A52" s="7" t="s">
        <v>431</v>
      </c>
      <c r="B52" s="8">
        <v>14.5</v>
      </c>
      <c r="C52" s="8">
        <v>14.9</v>
      </c>
      <c r="D52" s="16">
        <v>403</v>
      </c>
    </row>
    <row r="53" spans="1:4" ht="15" x14ac:dyDescent="0.2">
      <c r="A53" s="5" t="s">
        <v>432</v>
      </c>
      <c r="B53" s="6">
        <v>14.4</v>
      </c>
      <c r="C53" s="6">
        <v>16.8</v>
      </c>
      <c r="D53" s="15">
        <v>404</v>
      </c>
    </row>
    <row r="54" spans="1:4" ht="15" x14ac:dyDescent="0.2">
      <c r="A54" s="9" t="s">
        <v>433</v>
      </c>
      <c r="B54" s="8">
        <v>19.100000000000001</v>
      </c>
      <c r="C54" s="8">
        <v>19.5</v>
      </c>
      <c r="D54" s="16">
        <v>405</v>
      </c>
    </row>
    <row r="55" spans="1:4" ht="15" x14ac:dyDescent="0.2">
      <c r="A55" s="10" t="s">
        <v>434</v>
      </c>
      <c r="B55" s="6">
        <v>13.9</v>
      </c>
      <c r="C55" s="6">
        <v>14.1</v>
      </c>
      <c r="D55" s="15">
        <v>406</v>
      </c>
    </row>
    <row r="56" spans="1:4" ht="15" x14ac:dyDescent="0.2">
      <c r="A56" s="9" t="s">
        <v>435</v>
      </c>
      <c r="B56" s="8">
        <v>22.5</v>
      </c>
      <c r="C56" s="8">
        <v>22.5</v>
      </c>
      <c r="D56" s="16">
        <v>407</v>
      </c>
    </row>
    <row r="57" spans="1:4" ht="15" x14ac:dyDescent="0.2">
      <c r="A57" s="10" t="s">
        <v>436</v>
      </c>
      <c r="B57" s="6">
        <v>15.4</v>
      </c>
      <c r="C57" s="6">
        <v>16.7</v>
      </c>
      <c r="D57" s="15">
        <v>408</v>
      </c>
    </row>
    <row r="58" spans="1:4" ht="15" x14ac:dyDescent="0.2">
      <c r="A58" s="7" t="s">
        <v>437</v>
      </c>
      <c r="B58" s="8">
        <v>15.5</v>
      </c>
      <c r="C58" s="8">
        <v>16.8</v>
      </c>
      <c r="D58" s="16">
        <v>409</v>
      </c>
    </row>
    <row r="59" spans="1:4" ht="15" x14ac:dyDescent="0.2">
      <c r="A59" s="10" t="s">
        <v>438</v>
      </c>
      <c r="B59" s="6">
        <v>14.8</v>
      </c>
      <c r="C59" s="6">
        <v>17.100000000000001</v>
      </c>
      <c r="D59" s="15">
        <v>410</v>
      </c>
    </row>
    <row r="60" spans="1:4" ht="15" x14ac:dyDescent="0.2">
      <c r="A60" s="9" t="s">
        <v>439</v>
      </c>
      <c r="B60" s="8">
        <v>18.899999999999999</v>
      </c>
      <c r="C60" s="8">
        <v>19.5</v>
      </c>
      <c r="D60" s="16">
        <v>411</v>
      </c>
    </row>
    <row r="61" spans="1:4" ht="15" x14ac:dyDescent="0.2">
      <c r="A61" s="10" t="s">
        <v>440</v>
      </c>
      <c r="B61" s="6">
        <v>14</v>
      </c>
      <c r="C61" s="6">
        <v>14.2</v>
      </c>
      <c r="D61" s="15">
        <v>412</v>
      </c>
    </row>
    <row r="62" spans="1:4" ht="15" x14ac:dyDescent="0.2">
      <c r="A62" s="7" t="s">
        <v>441</v>
      </c>
      <c r="B62" s="8">
        <v>15</v>
      </c>
      <c r="C62" s="8">
        <v>16.399999999999999</v>
      </c>
      <c r="D62" s="16">
        <v>501</v>
      </c>
    </row>
    <row r="63" spans="1:4" ht="15" x14ac:dyDescent="0.2">
      <c r="A63" s="5" t="s">
        <v>442</v>
      </c>
      <c r="B63" s="6">
        <v>19.8</v>
      </c>
      <c r="C63" s="6">
        <v>21.5</v>
      </c>
      <c r="D63" s="15">
        <v>502</v>
      </c>
    </row>
    <row r="64" spans="1:4" ht="15" x14ac:dyDescent="0.2">
      <c r="A64" s="7" t="s">
        <v>443</v>
      </c>
      <c r="B64" s="8">
        <v>22.6</v>
      </c>
      <c r="C64" s="8">
        <v>23.9</v>
      </c>
      <c r="D64" s="16">
        <v>503</v>
      </c>
    </row>
    <row r="65" spans="1:4" ht="15" x14ac:dyDescent="0.2">
      <c r="A65" s="5" t="s">
        <v>444</v>
      </c>
      <c r="B65" s="6">
        <v>20</v>
      </c>
      <c r="C65" s="6">
        <v>24.8</v>
      </c>
      <c r="D65" s="15">
        <v>504</v>
      </c>
    </row>
    <row r="66" spans="1:4" ht="15" x14ac:dyDescent="0.2">
      <c r="A66" s="7" t="s">
        <v>445</v>
      </c>
      <c r="B66" s="8">
        <v>19.100000000000001</v>
      </c>
      <c r="C66" s="8">
        <v>23.3</v>
      </c>
      <c r="D66" s="16">
        <v>505</v>
      </c>
    </row>
    <row r="67" spans="1:4" ht="15" x14ac:dyDescent="0.2">
      <c r="A67" s="5" t="s">
        <v>446</v>
      </c>
      <c r="B67" s="6">
        <v>11.3</v>
      </c>
      <c r="C67" s="6">
        <v>10.7</v>
      </c>
      <c r="D67" s="15">
        <v>506</v>
      </c>
    </row>
    <row r="68" spans="1:4" ht="15" x14ac:dyDescent="0.2">
      <c r="A68" s="7" t="s">
        <v>447</v>
      </c>
      <c r="B68" s="8">
        <v>13.6</v>
      </c>
      <c r="C68" s="8">
        <v>14.4</v>
      </c>
      <c r="D68" s="16">
        <v>507</v>
      </c>
    </row>
    <row r="69" spans="1:4" ht="15" x14ac:dyDescent="0.2">
      <c r="A69" s="5" t="s">
        <v>448</v>
      </c>
      <c r="B69" s="6">
        <v>19.2</v>
      </c>
      <c r="C69" s="6">
        <v>19</v>
      </c>
      <c r="D69" s="15">
        <v>508</v>
      </c>
    </row>
    <row r="70" spans="1:4" ht="15" x14ac:dyDescent="0.2">
      <c r="A70" s="7" t="s">
        <v>449</v>
      </c>
      <c r="B70" s="8">
        <v>11.5</v>
      </c>
      <c r="C70" s="8">
        <v>12.7</v>
      </c>
      <c r="D70" s="16">
        <v>509</v>
      </c>
    </row>
    <row r="71" spans="1:4" ht="15" x14ac:dyDescent="0.2">
      <c r="A71" s="5" t="s">
        <v>450</v>
      </c>
      <c r="B71" s="6">
        <v>16.3</v>
      </c>
      <c r="C71" s="6">
        <v>14.6</v>
      </c>
      <c r="D71" s="15">
        <v>510</v>
      </c>
    </row>
    <row r="72" spans="1:4" ht="15" x14ac:dyDescent="0.2">
      <c r="A72" s="7" t="s">
        <v>451</v>
      </c>
      <c r="B72" s="8">
        <v>23.5</v>
      </c>
      <c r="C72" s="8">
        <v>24.5</v>
      </c>
      <c r="D72" s="16">
        <v>511</v>
      </c>
    </row>
    <row r="73" spans="1:4" ht="15" x14ac:dyDescent="0.2">
      <c r="A73" s="10" t="s">
        <v>452</v>
      </c>
      <c r="B73" s="6">
        <v>9.9</v>
      </c>
      <c r="C73" s="6">
        <v>10</v>
      </c>
      <c r="D73" s="15">
        <v>601</v>
      </c>
    </row>
    <row r="74" spans="1:4" ht="15" x14ac:dyDescent="0.2">
      <c r="A74" s="9" t="s">
        <v>453</v>
      </c>
      <c r="B74" s="8">
        <v>18.3</v>
      </c>
      <c r="C74" s="8">
        <v>21.3</v>
      </c>
      <c r="D74" s="16">
        <v>602</v>
      </c>
    </row>
    <row r="75" spans="1:4" ht="15" x14ac:dyDescent="0.2">
      <c r="A75" s="10" t="s">
        <v>454</v>
      </c>
      <c r="B75" s="6">
        <v>32.200000000000003</v>
      </c>
      <c r="C75" s="6">
        <v>34.9</v>
      </c>
      <c r="D75" s="15">
        <v>603</v>
      </c>
    </row>
    <row r="76" spans="1:4" ht="15" x14ac:dyDescent="0.2">
      <c r="A76" s="9" t="s">
        <v>455</v>
      </c>
      <c r="B76" s="8">
        <v>20.7</v>
      </c>
      <c r="C76" s="8">
        <v>24</v>
      </c>
      <c r="D76" s="16">
        <v>604</v>
      </c>
    </row>
    <row r="77" spans="1:4" ht="15" x14ac:dyDescent="0.2">
      <c r="A77" s="10" t="s">
        <v>456</v>
      </c>
      <c r="B77" s="6">
        <v>18.7</v>
      </c>
      <c r="C77" s="6">
        <v>19.100000000000001</v>
      </c>
      <c r="D77" s="15">
        <v>605</v>
      </c>
    </row>
    <row r="78" spans="1:4" ht="15" x14ac:dyDescent="0.2">
      <c r="A78" s="9" t="s">
        <v>457</v>
      </c>
      <c r="B78" s="8">
        <v>12.7</v>
      </c>
      <c r="C78" s="8">
        <v>12.7</v>
      </c>
      <c r="D78" s="16">
        <v>606</v>
      </c>
    </row>
    <row r="79" spans="1:4" ht="15" x14ac:dyDescent="0.2">
      <c r="A79" s="10" t="s">
        <v>458</v>
      </c>
      <c r="B79" s="6">
        <v>18.399999999999999</v>
      </c>
      <c r="C79" s="6">
        <v>20.8</v>
      </c>
      <c r="D79" s="15">
        <v>607</v>
      </c>
    </row>
    <row r="80" spans="1:4" ht="15" x14ac:dyDescent="0.2">
      <c r="A80" s="9" t="s">
        <v>459</v>
      </c>
      <c r="B80" s="8">
        <v>16.100000000000001</v>
      </c>
      <c r="C80" s="8">
        <v>18.399999999999999</v>
      </c>
      <c r="D80" s="16">
        <v>608</v>
      </c>
    </row>
    <row r="81" spans="1:4" ht="15" x14ac:dyDescent="0.2">
      <c r="A81" s="10" t="s">
        <v>460</v>
      </c>
      <c r="B81" s="6">
        <v>17.600000000000001</v>
      </c>
      <c r="C81" s="6">
        <v>20.399999999999999</v>
      </c>
      <c r="D81" s="15">
        <v>609</v>
      </c>
    </row>
    <row r="82" spans="1:4" ht="15" x14ac:dyDescent="0.2">
      <c r="A82" s="9" t="s">
        <v>461</v>
      </c>
      <c r="B82" s="8">
        <v>13.6</v>
      </c>
      <c r="C82" s="8">
        <v>15.6</v>
      </c>
      <c r="D82" s="16">
        <v>610</v>
      </c>
    </row>
    <row r="83" spans="1:4" ht="15" x14ac:dyDescent="0.2">
      <c r="A83" s="10" t="s">
        <v>462</v>
      </c>
      <c r="B83" s="6">
        <v>14</v>
      </c>
      <c r="C83" s="6">
        <v>17</v>
      </c>
      <c r="D83" s="15">
        <v>611</v>
      </c>
    </row>
    <row r="84" spans="1:4" ht="15" x14ac:dyDescent="0.2">
      <c r="A84" s="9" t="s">
        <v>463</v>
      </c>
      <c r="B84" s="8">
        <v>9.6</v>
      </c>
      <c r="C84" s="8">
        <v>12</v>
      </c>
      <c r="D84" s="16">
        <v>612</v>
      </c>
    </row>
    <row r="85" spans="1:4" ht="15" x14ac:dyDescent="0.2">
      <c r="A85" s="10" t="s">
        <v>464</v>
      </c>
      <c r="B85" s="6">
        <v>10.9</v>
      </c>
      <c r="C85" s="6">
        <v>11.6</v>
      </c>
      <c r="D85" s="15">
        <v>613</v>
      </c>
    </row>
    <row r="86" spans="1:4" ht="15" x14ac:dyDescent="0.2">
      <c r="A86" s="9" t="s">
        <v>465</v>
      </c>
      <c r="B86" s="8">
        <v>22.9</v>
      </c>
      <c r="C86" s="8">
        <v>22.9</v>
      </c>
      <c r="D86" s="16">
        <v>614</v>
      </c>
    </row>
    <row r="87" spans="1:4" ht="15" x14ac:dyDescent="0.2">
      <c r="A87" s="10" t="s">
        <v>466</v>
      </c>
      <c r="B87" s="6">
        <v>14.2</v>
      </c>
      <c r="C87" s="6">
        <v>15.6</v>
      </c>
      <c r="D87" s="15">
        <v>615</v>
      </c>
    </row>
    <row r="88" spans="1:4" ht="15" x14ac:dyDescent="0.2">
      <c r="A88" s="9" t="s">
        <v>467</v>
      </c>
      <c r="B88" s="8">
        <v>10.199999999999999</v>
      </c>
      <c r="C88" s="8">
        <v>13.4</v>
      </c>
      <c r="D88" s="16">
        <v>616</v>
      </c>
    </row>
    <row r="89" spans="1:4" ht="15" x14ac:dyDescent="0.2">
      <c r="A89" s="10" t="s">
        <v>468</v>
      </c>
      <c r="B89" s="6">
        <v>10.7</v>
      </c>
      <c r="C89" s="6">
        <v>11.4</v>
      </c>
      <c r="D89" s="15">
        <v>617</v>
      </c>
    </row>
    <row r="90" spans="1:4" ht="15" x14ac:dyDescent="0.2">
      <c r="A90" s="7" t="s">
        <v>469</v>
      </c>
      <c r="B90" s="8">
        <v>10</v>
      </c>
      <c r="C90" s="8">
        <v>11.2</v>
      </c>
      <c r="D90" s="16">
        <v>701</v>
      </c>
    </row>
    <row r="91" spans="1:4" ht="15" x14ac:dyDescent="0.2">
      <c r="A91" s="5" t="s">
        <v>470</v>
      </c>
      <c r="B91" s="6">
        <v>12.6</v>
      </c>
      <c r="C91" s="6">
        <v>14.6</v>
      </c>
      <c r="D91" s="15">
        <v>702</v>
      </c>
    </row>
    <row r="92" spans="1:4" ht="15" x14ac:dyDescent="0.2">
      <c r="A92" s="7" t="s">
        <v>471</v>
      </c>
      <c r="B92" s="8">
        <v>11</v>
      </c>
      <c r="C92" s="8">
        <v>11.4</v>
      </c>
      <c r="D92" s="16">
        <v>703</v>
      </c>
    </row>
    <row r="93" spans="1:4" ht="15" x14ac:dyDescent="0.2">
      <c r="A93" s="5" t="s">
        <v>472</v>
      </c>
      <c r="B93" s="6">
        <v>12.6</v>
      </c>
      <c r="C93" s="6">
        <v>15.1</v>
      </c>
      <c r="D93" s="15">
        <v>704</v>
      </c>
    </row>
    <row r="94" spans="1:4" ht="15" x14ac:dyDescent="0.2">
      <c r="A94" s="7" t="s">
        <v>473</v>
      </c>
      <c r="B94" s="8">
        <v>21.2</v>
      </c>
      <c r="C94" s="8">
        <v>24.4</v>
      </c>
      <c r="D94" s="16">
        <v>705</v>
      </c>
    </row>
    <row r="95" spans="1:4" ht="15" x14ac:dyDescent="0.2">
      <c r="A95" s="5" t="s">
        <v>474</v>
      </c>
      <c r="B95" s="6">
        <v>13.4</v>
      </c>
      <c r="C95" s="6">
        <v>14.9</v>
      </c>
      <c r="D95" s="15">
        <v>706</v>
      </c>
    </row>
    <row r="96" spans="1:4" ht="15" x14ac:dyDescent="0.2">
      <c r="A96" s="7" t="s">
        <v>475</v>
      </c>
      <c r="B96" s="8">
        <v>8.6999999999999993</v>
      </c>
      <c r="C96" s="8">
        <v>13.6</v>
      </c>
      <c r="D96" s="16">
        <v>707</v>
      </c>
    </row>
    <row r="97" spans="1:4" ht="15" x14ac:dyDescent="0.2">
      <c r="A97" s="5" t="s">
        <v>476</v>
      </c>
      <c r="B97" s="6">
        <v>15.4</v>
      </c>
      <c r="C97" s="6">
        <v>16.600000000000001</v>
      </c>
      <c r="D97" s="15">
        <v>708</v>
      </c>
    </row>
    <row r="98" spans="1:4" ht="15" x14ac:dyDescent="0.2">
      <c r="A98" s="7" t="s">
        <v>477</v>
      </c>
      <c r="B98" s="8">
        <v>12.2</v>
      </c>
      <c r="C98" s="8">
        <v>9.6999999999999993</v>
      </c>
      <c r="D98" s="16">
        <v>709</v>
      </c>
    </row>
    <row r="99" spans="1:4" ht="15" x14ac:dyDescent="0.2">
      <c r="A99" s="5" t="s">
        <v>478</v>
      </c>
      <c r="B99" s="6">
        <v>12.3</v>
      </c>
      <c r="C99" s="6">
        <v>16.899999999999999</v>
      </c>
      <c r="D99" s="15">
        <v>710</v>
      </c>
    </row>
    <row r="100" spans="1:4" ht="15" x14ac:dyDescent="0.2">
      <c r="A100" s="7" t="s">
        <v>479</v>
      </c>
      <c r="B100" s="8">
        <v>12.9</v>
      </c>
      <c r="C100" s="8">
        <v>13.7</v>
      </c>
      <c r="D100" s="16">
        <v>711</v>
      </c>
    </row>
    <row r="101" spans="1:4" ht="15" x14ac:dyDescent="0.2">
      <c r="A101" s="5" t="s">
        <v>480</v>
      </c>
      <c r="B101" s="6">
        <v>12.8</v>
      </c>
      <c r="C101" s="6">
        <v>12.8</v>
      </c>
      <c r="D101" s="15">
        <v>712</v>
      </c>
    </row>
    <row r="102" spans="1:4" ht="15" x14ac:dyDescent="0.2">
      <c r="A102" s="7" t="s">
        <v>481</v>
      </c>
      <c r="B102" s="8">
        <v>12.4</v>
      </c>
      <c r="C102" s="8">
        <v>14.7</v>
      </c>
      <c r="D102" s="16">
        <v>713</v>
      </c>
    </row>
    <row r="103" spans="1:4" ht="15" x14ac:dyDescent="0.2">
      <c r="A103" s="5" t="s">
        <v>482</v>
      </c>
      <c r="B103" s="6">
        <v>11.8</v>
      </c>
      <c r="C103" s="6">
        <v>16</v>
      </c>
      <c r="D103" s="15">
        <v>714</v>
      </c>
    </row>
    <row r="104" spans="1:4" ht="15" x14ac:dyDescent="0.2">
      <c r="A104" s="7" t="s">
        <v>483</v>
      </c>
      <c r="B104" s="8">
        <v>10.9</v>
      </c>
      <c r="C104" s="8">
        <v>11.9</v>
      </c>
      <c r="D104" s="16">
        <v>801</v>
      </c>
    </row>
    <row r="105" spans="1:4" ht="15" x14ac:dyDescent="0.2">
      <c r="A105" s="5" t="s">
        <v>484</v>
      </c>
      <c r="B105" s="6">
        <v>13.3</v>
      </c>
      <c r="C105" s="6">
        <v>14.8</v>
      </c>
      <c r="D105" s="15">
        <v>802</v>
      </c>
    </row>
    <row r="106" spans="1:4" ht="15" x14ac:dyDescent="0.2">
      <c r="A106" s="7" t="s">
        <v>485</v>
      </c>
      <c r="B106" s="8">
        <v>10</v>
      </c>
      <c r="C106" s="8">
        <v>9.8000000000000007</v>
      </c>
      <c r="D106" s="16">
        <v>803</v>
      </c>
    </row>
    <row r="107" spans="1:4" ht="15" x14ac:dyDescent="0.2">
      <c r="A107" s="5" t="s">
        <v>486</v>
      </c>
      <c r="B107" s="6">
        <v>10.199999999999999</v>
      </c>
      <c r="C107" s="6">
        <v>11</v>
      </c>
      <c r="D107" s="15">
        <v>804</v>
      </c>
    </row>
    <row r="108" spans="1:4" ht="15" x14ac:dyDescent="0.2">
      <c r="A108" s="7" t="s">
        <v>487</v>
      </c>
      <c r="B108" s="8">
        <v>25.1</v>
      </c>
      <c r="C108" s="8">
        <v>26.6</v>
      </c>
      <c r="D108" s="16">
        <v>805</v>
      </c>
    </row>
    <row r="109" spans="1:4" ht="15" x14ac:dyDescent="0.2">
      <c r="A109" s="5" t="s">
        <v>488</v>
      </c>
      <c r="B109" s="6">
        <v>12.8</v>
      </c>
      <c r="C109" s="6">
        <v>13.8</v>
      </c>
      <c r="D109" s="15">
        <v>806</v>
      </c>
    </row>
    <row r="110" spans="1:4" ht="15" x14ac:dyDescent="0.2">
      <c r="A110" s="7" t="s">
        <v>489</v>
      </c>
      <c r="B110" s="8">
        <v>11.9</v>
      </c>
      <c r="C110" s="8">
        <v>12.7</v>
      </c>
      <c r="D110" s="16">
        <v>807</v>
      </c>
    </row>
    <row r="111" spans="1:4" ht="15" x14ac:dyDescent="0.2">
      <c r="A111" s="5" t="s">
        <v>490</v>
      </c>
      <c r="B111" s="6">
        <v>13.1</v>
      </c>
      <c r="C111" s="6">
        <v>13.9</v>
      </c>
      <c r="D111" s="15">
        <v>808</v>
      </c>
    </row>
    <row r="112" spans="1:4" ht="15" x14ac:dyDescent="0.2">
      <c r="A112" s="7" t="s">
        <v>491</v>
      </c>
      <c r="B112" s="8">
        <v>13.8</v>
      </c>
      <c r="C112" s="8">
        <v>11.1</v>
      </c>
      <c r="D112" s="16">
        <v>809</v>
      </c>
    </row>
    <row r="113" spans="1:4" ht="15" x14ac:dyDescent="0.2">
      <c r="A113" s="5" t="s">
        <v>492</v>
      </c>
      <c r="B113" s="6">
        <v>14</v>
      </c>
      <c r="C113" s="6">
        <v>14.1</v>
      </c>
      <c r="D113" s="15">
        <v>810</v>
      </c>
    </row>
    <row r="114" spans="1:4" ht="15" x14ac:dyDescent="0.2">
      <c r="A114" s="7" t="s">
        <v>493</v>
      </c>
      <c r="B114" s="8">
        <v>16.100000000000001</v>
      </c>
      <c r="C114" s="8">
        <v>16.5</v>
      </c>
      <c r="D114" s="16">
        <v>811</v>
      </c>
    </row>
    <row r="115" spans="1:4" ht="15" x14ac:dyDescent="0.2">
      <c r="A115" s="5" t="s">
        <v>494</v>
      </c>
      <c r="B115" s="6">
        <v>17.5</v>
      </c>
      <c r="C115" s="6">
        <v>16.899999999999999</v>
      </c>
      <c r="D115" s="15">
        <v>812</v>
      </c>
    </row>
    <row r="116" spans="1:4" ht="15" x14ac:dyDescent="0.2">
      <c r="A116" s="7" t="s">
        <v>495</v>
      </c>
      <c r="B116" s="8">
        <v>10.9</v>
      </c>
      <c r="C116" s="8">
        <v>12.2</v>
      </c>
      <c r="D116" s="16">
        <v>813</v>
      </c>
    </row>
    <row r="117" spans="1:4" ht="15" x14ac:dyDescent="0.2">
      <c r="A117" s="5" t="s">
        <v>496</v>
      </c>
      <c r="B117" s="6">
        <v>12.5</v>
      </c>
      <c r="C117" s="6">
        <v>13.3</v>
      </c>
      <c r="D117" s="15">
        <v>814</v>
      </c>
    </row>
    <row r="118" spans="1:4" ht="15" x14ac:dyDescent="0.2">
      <c r="A118" s="7" t="s">
        <v>497</v>
      </c>
      <c r="B118" s="8">
        <v>9.1999999999999993</v>
      </c>
      <c r="C118" s="8">
        <v>10.5</v>
      </c>
      <c r="D118" s="16">
        <v>815</v>
      </c>
    </row>
    <row r="119" spans="1:4" ht="15" x14ac:dyDescent="0.2">
      <c r="A119" s="5" t="s">
        <v>498</v>
      </c>
      <c r="B119" s="6">
        <v>7.5</v>
      </c>
      <c r="C119" s="6">
        <v>9</v>
      </c>
      <c r="D119" s="15">
        <v>816</v>
      </c>
    </row>
    <row r="120" spans="1:4" ht="15" x14ac:dyDescent="0.2">
      <c r="A120" s="7" t="s">
        <v>499</v>
      </c>
      <c r="B120" s="8">
        <v>11.4</v>
      </c>
      <c r="C120" s="8">
        <v>14</v>
      </c>
      <c r="D120" s="16">
        <v>901</v>
      </c>
    </row>
    <row r="121" spans="1:4" ht="15" x14ac:dyDescent="0.2">
      <c r="A121" s="5" t="s">
        <v>500</v>
      </c>
      <c r="B121" s="6">
        <v>10.4</v>
      </c>
      <c r="C121" s="6">
        <v>11.5</v>
      </c>
      <c r="D121" s="15">
        <v>902</v>
      </c>
    </row>
    <row r="122" spans="1:4" ht="15" x14ac:dyDescent="0.2">
      <c r="A122" s="7" t="s">
        <v>501</v>
      </c>
      <c r="B122" s="8">
        <v>9.5</v>
      </c>
      <c r="C122" s="8">
        <v>10.5</v>
      </c>
      <c r="D122" s="16">
        <v>903</v>
      </c>
    </row>
    <row r="123" spans="1:4" ht="15" x14ac:dyDescent="0.2">
      <c r="A123" s="5" t="s">
        <v>502</v>
      </c>
      <c r="B123" s="6">
        <v>16</v>
      </c>
      <c r="C123" s="6">
        <v>15.1</v>
      </c>
      <c r="D123" s="15">
        <v>904</v>
      </c>
    </row>
    <row r="124" spans="1:4" ht="15" x14ac:dyDescent="0.2">
      <c r="A124" s="7" t="s">
        <v>503</v>
      </c>
      <c r="B124" s="8">
        <v>11.3</v>
      </c>
      <c r="C124" s="8">
        <v>11.4</v>
      </c>
      <c r="D124" s="16">
        <v>905</v>
      </c>
    </row>
    <row r="125" spans="1:4" ht="15" x14ac:dyDescent="0.2">
      <c r="A125" s="5" t="s">
        <v>504</v>
      </c>
      <c r="B125" s="6">
        <v>16.100000000000001</v>
      </c>
      <c r="C125" s="6">
        <v>20</v>
      </c>
      <c r="D125" s="15">
        <v>906</v>
      </c>
    </row>
    <row r="126" spans="1:4" ht="15" x14ac:dyDescent="0.2">
      <c r="A126" s="7" t="s">
        <v>505</v>
      </c>
      <c r="B126" s="8">
        <v>23.5</v>
      </c>
      <c r="C126" s="8">
        <v>24.6</v>
      </c>
      <c r="D126" s="16">
        <v>907</v>
      </c>
    </row>
    <row r="127" spans="1:4" ht="15" x14ac:dyDescent="0.2">
      <c r="A127" s="5" t="s">
        <v>506</v>
      </c>
      <c r="B127" s="6">
        <v>18.2</v>
      </c>
      <c r="C127" s="6">
        <v>25</v>
      </c>
      <c r="D127" s="15">
        <v>908</v>
      </c>
    </row>
    <row r="128" spans="1:4" ht="15" x14ac:dyDescent="0.2">
      <c r="A128" s="7" t="s">
        <v>507</v>
      </c>
      <c r="B128" s="8">
        <v>14.7</v>
      </c>
      <c r="C128" s="8">
        <v>16.3</v>
      </c>
      <c r="D128" s="16">
        <v>909</v>
      </c>
    </row>
    <row r="129" spans="1:4" ht="15" x14ac:dyDescent="0.2">
      <c r="A129" s="5" t="s">
        <v>508</v>
      </c>
      <c r="B129" s="6">
        <v>13.8</v>
      </c>
      <c r="C129" s="6">
        <v>13</v>
      </c>
      <c r="D129" s="15">
        <v>910</v>
      </c>
    </row>
    <row r="130" spans="1:4" ht="15" x14ac:dyDescent="0.2">
      <c r="A130" s="7" t="s">
        <v>509</v>
      </c>
      <c r="B130" s="8">
        <v>15.3</v>
      </c>
      <c r="C130" s="8">
        <v>16.600000000000001</v>
      </c>
      <c r="D130" s="16">
        <v>911</v>
      </c>
    </row>
    <row r="131" spans="1:4" ht="15" x14ac:dyDescent="0.2">
      <c r="A131" s="5" t="s">
        <v>510</v>
      </c>
      <c r="B131" s="6">
        <v>15.6</v>
      </c>
      <c r="C131" s="6">
        <v>15.9</v>
      </c>
      <c r="D131" s="15">
        <v>912</v>
      </c>
    </row>
    <row r="132" spans="1:4" ht="15" x14ac:dyDescent="0.2">
      <c r="A132" s="7" t="s">
        <v>511</v>
      </c>
      <c r="B132" s="8">
        <v>15.9</v>
      </c>
      <c r="C132" s="8">
        <v>18.2</v>
      </c>
      <c r="D132" s="16">
        <v>913</v>
      </c>
    </row>
    <row r="133" spans="1:4" ht="15" x14ac:dyDescent="0.2">
      <c r="A133" s="5" t="s">
        <v>512</v>
      </c>
      <c r="B133" s="6">
        <v>17.899999999999999</v>
      </c>
      <c r="C133" s="6">
        <v>18.5</v>
      </c>
      <c r="D133" s="15">
        <v>914</v>
      </c>
    </row>
    <row r="134" spans="1:4" ht="15" x14ac:dyDescent="0.2">
      <c r="A134" s="7" t="s">
        <v>513</v>
      </c>
      <c r="B134" s="8">
        <v>13.7</v>
      </c>
      <c r="C134" s="8">
        <v>14.2</v>
      </c>
      <c r="D134" s="16">
        <v>1001</v>
      </c>
    </row>
    <row r="135" spans="1:4" ht="15" x14ac:dyDescent="0.2">
      <c r="A135" s="5" t="s">
        <v>514</v>
      </c>
      <c r="B135" s="6">
        <v>11.1</v>
      </c>
      <c r="C135" s="6">
        <v>13.3</v>
      </c>
      <c r="D135" s="15">
        <v>1002</v>
      </c>
    </row>
    <row r="136" spans="1:4" ht="15" x14ac:dyDescent="0.2">
      <c r="A136" s="7" t="s">
        <v>515</v>
      </c>
      <c r="B136" s="8">
        <v>12.5</v>
      </c>
      <c r="C136" s="8">
        <v>14.3</v>
      </c>
      <c r="D136" s="16">
        <v>1003</v>
      </c>
    </row>
    <row r="137" spans="1:4" ht="15" x14ac:dyDescent="0.2">
      <c r="A137" s="5" t="s">
        <v>516</v>
      </c>
      <c r="B137" s="6">
        <v>14</v>
      </c>
      <c r="C137" s="6">
        <v>15.3</v>
      </c>
      <c r="D137" s="15">
        <v>1004</v>
      </c>
    </row>
    <row r="138" spans="1:4" ht="15" x14ac:dyDescent="0.2">
      <c r="A138" s="7" t="s">
        <v>517</v>
      </c>
      <c r="B138" s="8">
        <v>11.2</v>
      </c>
      <c r="C138" s="8">
        <v>10.3</v>
      </c>
      <c r="D138" s="16">
        <v>1005</v>
      </c>
    </row>
    <row r="139" spans="1:4" ht="15" x14ac:dyDescent="0.2">
      <c r="A139" s="5" t="s">
        <v>518</v>
      </c>
      <c r="B139" s="6">
        <v>12.5</v>
      </c>
      <c r="C139" s="6">
        <v>16.899999999999999</v>
      </c>
      <c r="D139" s="15">
        <v>1006</v>
      </c>
    </row>
    <row r="140" spans="1:4" ht="15" x14ac:dyDescent="0.2">
      <c r="A140" s="7" t="s">
        <v>519</v>
      </c>
      <c r="B140" s="8">
        <v>14.4</v>
      </c>
      <c r="C140" s="8">
        <v>13.2</v>
      </c>
      <c r="D140" s="16">
        <v>1007</v>
      </c>
    </row>
    <row r="141" spans="1:4" ht="15" x14ac:dyDescent="0.2">
      <c r="A141" s="5" t="s">
        <v>520</v>
      </c>
      <c r="B141" s="6">
        <v>13.4</v>
      </c>
      <c r="C141" s="6">
        <v>17</v>
      </c>
      <c r="D141" s="15">
        <v>1008</v>
      </c>
    </row>
    <row r="142" spans="1:4" ht="15" x14ac:dyDescent="0.2">
      <c r="A142" s="7" t="s">
        <v>521</v>
      </c>
      <c r="B142" s="8">
        <v>21.3</v>
      </c>
      <c r="C142" s="8">
        <v>22.8</v>
      </c>
      <c r="D142" s="16">
        <v>1009</v>
      </c>
    </row>
    <row r="143" spans="1:4" ht="15" x14ac:dyDescent="0.2">
      <c r="A143" s="5" t="s">
        <v>522</v>
      </c>
      <c r="B143" s="6">
        <v>20.8</v>
      </c>
      <c r="C143" s="6">
        <v>20.7</v>
      </c>
      <c r="D143" s="15">
        <v>1010</v>
      </c>
    </row>
    <row r="144" spans="1:4" ht="15" x14ac:dyDescent="0.2">
      <c r="A144" s="7" t="s">
        <v>523</v>
      </c>
      <c r="B144" s="8">
        <v>12.4</v>
      </c>
      <c r="C144" s="8">
        <v>14.8</v>
      </c>
      <c r="D144" s="16">
        <v>1011</v>
      </c>
    </row>
    <row r="145" spans="1:4" ht="15" x14ac:dyDescent="0.2">
      <c r="A145" s="5" t="s">
        <v>524</v>
      </c>
      <c r="B145" s="6">
        <v>22</v>
      </c>
      <c r="C145" s="6">
        <v>20.399999999999999</v>
      </c>
      <c r="D145" s="15">
        <v>1012</v>
      </c>
    </row>
    <row r="146" spans="1:4" ht="15" x14ac:dyDescent="0.2">
      <c r="A146" s="7" t="s">
        <v>525</v>
      </c>
      <c r="B146" s="8">
        <v>16.100000000000001</v>
      </c>
      <c r="C146" s="8">
        <v>22.6</v>
      </c>
      <c r="D146" s="16">
        <v>1013</v>
      </c>
    </row>
    <row r="147" spans="1:4" ht="15" x14ac:dyDescent="0.2">
      <c r="A147" s="5" t="s">
        <v>526</v>
      </c>
      <c r="B147" s="6">
        <v>12</v>
      </c>
      <c r="C147" s="6">
        <v>11.6</v>
      </c>
      <c r="D147" s="15">
        <v>1014</v>
      </c>
    </row>
    <row r="148" spans="1:4" ht="15" x14ac:dyDescent="0.2">
      <c r="A148" s="7" t="s">
        <v>527</v>
      </c>
      <c r="B148" s="8">
        <v>13.4</v>
      </c>
      <c r="C148" s="8">
        <v>13.7</v>
      </c>
      <c r="D148" s="16">
        <v>1015</v>
      </c>
    </row>
    <row r="149" spans="1:4" ht="15" x14ac:dyDescent="0.2">
      <c r="A149" s="5" t="s">
        <v>528</v>
      </c>
      <c r="B149" s="6">
        <v>14</v>
      </c>
      <c r="C149" s="6">
        <v>15</v>
      </c>
      <c r="D149" s="15">
        <v>1016</v>
      </c>
    </row>
    <row r="150" spans="1:4" ht="15" x14ac:dyDescent="0.2">
      <c r="A150" s="7" t="s">
        <v>529</v>
      </c>
      <c r="B150" s="8">
        <v>13.4</v>
      </c>
      <c r="C150" s="8">
        <v>13.1</v>
      </c>
      <c r="D150" s="16">
        <v>1101</v>
      </c>
    </row>
    <row r="151" spans="1:4" ht="15" x14ac:dyDescent="0.2">
      <c r="A151" s="5" t="s">
        <v>530</v>
      </c>
      <c r="B151" s="6">
        <v>17.600000000000001</v>
      </c>
      <c r="C151" s="6">
        <v>16.600000000000001</v>
      </c>
      <c r="D151" s="15">
        <v>1102</v>
      </c>
    </row>
    <row r="152" spans="1:4" ht="15" x14ac:dyDescent="0.2">
      <c r="A152" s="7" t="s">
        <v>531</v>
      </c>
      <c r="B152" s="8">
        <v>12.9</v>
      </c>
      <c r="C152" s="8">
        <v>12.6</v>
      </c>
      <c r="D152" s="16">
        <v>1103</v>
      </c>
    </row>
    <row r="153" spans="1:4" ht="15" x14ac:dyDescent="0.2">
      <c r="A153" s="5" t="s">
        <v>532</v>
      </c>
      <c r="B153" s="6">
        <v>13.3</v>
      </c>
      <c r="C153" s="6">
        <v>13.5</v>
      </c>
      <c r="D153" s="15">
        <v>1104</v>
      </c>
    </row>
    <row r="154" spans="1:4" ht="15" x14ac:dyDescent="0.2">
      <c r="A154" s="7" t="s">
        <v>533</v>
      </c>
      <c r="B154" s="8">
        <v>25.1</v>
      </c>
      <c r="C154" s="8">
        <v>26.3</v>
      </c>
      <c r="D154" s="16">
        <v>1105</v>
      </c>
    </row>
    <row r="155" spans="1:4" ht="15" x14ac:dyDescent="0.2">
      <c r="A155" s="5" t="s">
        <v>534</v>
      </c>
      <c r="B155" s="6">
        <v>42.9</v>
      </c>
      <c r="C155" s="6">
        <v>47.1</v>
      </c>
      <c r="D155" s="15">
        <v>1106</v>
      </c>
    </row>
    <row r="156" spans="1:4" ht="15" x14ac:dyDescent="0.2">
      <c r="A156" s="7" t="s">
        <v>535</v>
      </c>
      <c r="B156" s="8">
        <v>18.5</v>
      </c>
      <c r="C156" s="8">
        <v>20.2</v>
      </c>
      <c r="D156" s="16">
        <v>1107</v>
      </c>
    </row>
    <row r="157" spans="1:4" ht="15" x14ac:dyDescent="0.2">
      <c r="A157" s="5" t="s">
        <v>536</v>
      </c>
      <c r="B157" s="6">
        <v>11.1</v>
      </c>
      <c r="C157" s="6">
        <v>10.6</v>
      </c>
      <c r="D157" s="15">
        <v>1108</v>
      </c>
    </row>
    <row r="158" spans="1:4" ht="15" x14ac:dyDescent="0.2">
      <c r="A158" s="7" t="s">
        <v>537</v>
      </c>
      <c r="B158" s="8">
        <v>11</v>
      </c>
      <c r="C158" s="8">
        <v>12.3</v>
      </c>
      <c r="D158" s="16">
        <v>1109</v>
      </c>
    </row>
    <row r="159" spans="1:4" ht="15" x14ac:dyDescent="0.2">
      <c r="A159" s="5" t="s">
        <v>538</v>
      </c>
      <c r="B159" s="6">
        <v>43.5</v>
      </c>
      <c r="C159" s="6">
        <v>47.9</v>
      </c>
      <c r="D159" s="15">
        <v>1110</v>
      </c>
    </row>
    <row r="160" spans="1:4" ht="15" x14ac:dyDescent="0.2">
      <c r="A160" s="7" t="s">
        <v>539</v>
      </c>
      <c r="B160" s="8">
        <v>19.5</v>
      </c>
      <c r="C160" s="8">
        <v>20.3</v>
      </c>
      <c r="D160" s="16">
        <v>1111</v>
      </c>
    </row>
    <row r="161" spans="1:4" ht="15" x14ac:dyDescent="0.2">
      <c r="A161" s="5" t="s">
        <v>540</v>
      </c>
      <c r="B161" s="6">
        <v>10.199999999999999</v>
      </c>
      <c r="C161" s="6">
        <v>10.9</v>
      </c>
      <c r="D161" s="15">
        <v>1112</v>
      </c>
    </row>
    <row r="162" spans="1:4" ht="15" x14ac:dyDescent="0.2">
      <c r="A162" s="7" t="s">
        <v>541</v>
      </c>
      <c r="B162" s="8">
        <v>14.4</v>
      </c>
      <c r="C162" s="8">
        <v>14.9</v>
      </c>
      <c r="D162" s="16">
        <v>1113</v>
      </c>
    </row>
    <row r="163" spans="1:4" ht="15" x14ac:dyDescent="0.2">
      <c r="A163" s="5" t="s">
        <v>542</v>
      </c>
      <c r="B163" s="6">
        <v>19</v>
      </c>
      <c r="C163" s="6">
        <v>19.7</v>
      </c>
      <c r="D163" s="15">
        <v>1114</v>
      </c>
    </row>
    <row r="164" spans="1:4" ht="15" x14ac:dyDescent="0.2">
      <c r="A164" s="7" t="s">
        <v>543</v>
      </c>
      <c r="B164" s="8">
        <v>32</v>
      </c>
      <c r="C164" s="8">
        <v>36.200000000000003</v>
      </c>
      <c r="D164" s="16">
        <v>1115</v>
      </c>
    </row>
    <row r="165" spans="1:4" ht="15" x14ac:dyDescent="0.2">
      <c r="A165" s="5" t="s">
        <v>544</v>
      </c>
      <c r="B165" s="6">
        <v>15.1</v>
      </c>
      <c r="C165" s="6">
        <v>14.9</v>
      </c>
      <c r="D165" s="15">
        <v>1116</v>
      </c>
    </row>
    <row r="166" spans="1:4" ht="15" x14ac:dyDescent="0.2">
      <c r="A166" s="7" t="s">
        <v>545</v>
      </c>
      <c r="B166" s="8">
        <v>11.3</v>
      </c>
      <c r="C166" s="8">
        <v>15.7</v>
      </c>
      <c r="D166" s="16">
        <v>1201</v>
      </c>
    </row>
    <row r="167" spans="1:4" ht="15" x14ac:dyDescent="0.2">
      <c r="A167" s="5" t="s">
        <v>546</v>
      </c>
      <c r="B167" s="6">
        <v>17.5</v>
      </c>
      <c r="C167" s="6">
        <v>14.7</v>
      </c>
      <c r="D167" s="15">
        <v>1202</v>
      </c>
    </row>
    <row r="168" spans="1:4" ht="15" x14ac:dyDescent="0.2">
      <c r="A168" s="7" t="s">
        <v>547</v>
      </c>
      <c r="B168" s="8">
        <v>10.6</v>
      </c>
      <c r="C168" s="8">
        <v>11.7</v>
      </c>
      <c r="D168" s="16">
        <v>1203</v>
      </c>
    </row>
    <row r="169" spans="1:4" ht="15" x14ac:dyDescent="0.2">
      <c r="A169" s="5" t="s">
        <v>548</v>
      </c>
      <c r="B169" s="6">
        <v>19.3</v>
      </c>
      <c r="C169" s="6">
        <v>20.9</v>
      </c>
      <c r="D169" s="15">
        <v>1204</v>
      </c>
    </row>
    <row r="170" spans="1:4" ht="15" x14ac:dyDescent="0.2">
      <c r="A170" s="7" t="s">
        <v>549</v>
      </c>
      <c r="B170" s="8">
        <v>12.3</v>
      </c>
      <c r="C170" s="8">
        <v>12</v>
      </c>
      <c r="D170" s="16">
        <v>1205</v>
      </c>
    </row>
    <row r="171" spans="1:4" ht="15" x14ac:dyDescent="0.2">
      <c r="A171" s="5" t="s">
        <v>550</v>
      </c>
      <c r="B171" s="6">
        <v>9.6</v>
      </c>
      <c r="C171" s="6">
        <v>11.1</v>
      </c>
      <c r="D171" s="15">
        <v>1206</v>
      </c>
    </row>
    <row r="172" spans="1:4" ht="15" x14ac:dyDescent="0.2">
      <c r="A172" s="7" t="s">
        <v>551</v>
      </c>
      <c r="B172" s="8">
        <v>11.8</v>
      </c>
      <c r="C172" s="8">
        <v>16.7</v>
      </c>
      <c r="D172" s="16">
        <v>1207</v>
      </c>
    </row>
    <row r="173" spans="1:4" ht="15" x14ac:dyDescent="0.2">
      <c r="A173" s="5" t="s">
        <v>552</v>
      </c>
      <c r="B173" s="6">
        <v>12.4</v>
      </c>
      <c r="C173" s="6">
        <v>14.2</v>
      </c>
      <c r="D173" s="15">
        <v>1208</v>
      </c>
    </row>
    <row r="174" spans="1:4" ht="15" x14ac:dyDescent="0.2">
      <c r="A174" s="7" t="s">
        <v>553</v>
      </c>
      <c r="B174" s="8">
        <v>9.3000000000000007</v>
      </c>
      <c r="C174" s="8">
        <v>11.5</v>
      </c>
      <c r="D174" s="16">
        <v>1209</v>
      </c>
    </row>
    <row r="175" spans="1:4" ht="15" x14ac:dyDescent="0.2">
      <c r="A175" s="5" t="s">
        <v>554</v>
      </c>
      <c r="B175" s="6">
        <v>16.5</v>
      </c>
      <c r="C175" s="6">
        <v>17.5</v>
      </c>
      <c r="D175" s="15">
        <v>1210</v>
      </c>
    </row>
    <row r="176" spans="1:4" ht="15" x14ac:dyDescent="0.2">
      <c r="A176" s="7" t="s">
        <v>555</v>
      </c>
      <c r="B176" s="8">
        <v>19.100000000000001</v>
      </c>
      <c r="C176" s="8">
        <v>22</v>
      </c>
      <c r="D176" s="16">
        <v>1211</v>
      </c>
    </row>
    <row r="177" spans="1:4" ht="15" x14ac:dyDescent="0.2">
      <c r="A177" s="5" t="s">
        <v>556</v>
      </c>
      <c r="B177" s="6">
        <v>9.6</v>
      </c>
      <c r="C177" s="6">
        <v>11.9</v>
      </c>
      <c r="D177" s="15">
        <v>1212</v>
      </c>
    </row>
    <row r="178" spans="1:4" ht="15" x14ac:dyDescent="0.2">
      <c r="A178" s="7" t="s">
        <v>557</v>
      </c>
      <c r="B178" s="8">
        <v>13.2</v>
      </c>
      <c r="C178" s="8">
        <v>12.7</v>
      </c>
      <c r="D178" s="16">
        <v>1213</v>
      </c>
    </row>
    <row r="179" spans="1:4" ht="15" x14ac:dyDescent="0.2">
      <c r="A179" s="5" t="s">
        <v>558</v>
      </c>
      <c r="B179" s="6">
        <v>18.7</v>
      </c>
      <c r="C179" s="6">
        <v>21.3</v>
      </c>
      <c r="D179" s="15">
        <v>1214</v>
      </c>
    </row>
    <row r="180" spans="1:4" ht="15" x14ac:dyDescent="0.2">
      <c r="A180" s="7" t="s">
        <v>559</v>
      </c>
      <c r="B180" s="8">
        <v>8.9</v>
      </c>
      <c r="C180" s="8">
        <v>11.8</v>
      </c>
      <c r="D180" s="16">
        <v>1215</v>
      </c>
    </row>
    <row r="181" spans="1:4" ht="15" x14ac:dyDescent="0.2">
      <c r="A181" s="5" t="s">
        <v>560</v>
      </c>
      <c r="B181" s="6">
        <v>13.4</v>
      </c>
      <c r="C181" s="6">
        <v>15</v>
      </c>
      <c r="D181" s="15">
        <v>1301</v>
      </c>
    </row>
    <row r="182" spans="1:4" ht="15" x14ac:dyDescent="0.2">
      <c r="A182" s="7" t="s">
        <v>561</v>
      </c>
      <c r="B182" s="8">
        <v>10.5</v>
      </c>
      <c r="C182" s="8">
        <v>11</v>
      </c>
      <c r="D182" s="16">
        <v>1302</v>
      </c>
    </row>
    <row r="183" spans="1:4" ht="15" x14ac:dyDescent="0.2">
      <c r="A183" s="5" t="s">
        <v>562</v>
      </c>
      <c r="B183" s="6">
        <v>7</v>
      </c>
      <c r="C183" s="6">
        <v>7.6</v>
      </c>
      <c r="D183" s="15">
        <v>1303</v>
      </c>
    </row>
    <row r="184" spans="1:4" ht="15" x14ac:dyDescent="0.2">
      <c r="A184" s="7" t="s">
        <v>563</v>
      </c>
      <c r="B184" s="8">
        <v>18</v>
      </c>
      <c r="C184" s="8">
        <v>18.100000000000001</v>
      </c>
      <c r="D184" s="16">
        <v>1304</v>
      </c>
    </row>
    <row r="185" spans="1:4" ht="15" x14ac:dyDescent="0.2">
      <c r="A185" s="5" t="s">
        <v>564</v>
      </c>
      <c r="B185" s="6">
        <v>7.2</v>
      </c>
      <c r="C185" s="6">
        <v>8.4</v>
      </c>
      <c r="D185" s="15">
        <v>1305</v>
      </c>
    </row>
    <row r="186" spans="1:4" ht="15" x14ac:dyDescent="0.2">
      <c r="A186" s="7" t="s">
        <v>565</v>
      </c>
      <c r="B186" s="8">
        <v>24.7</v>
      </c>
      <c r="C186" s="8">
        <v>28.1</v>
      </c>
      <c r="D186" s="16">
        <v>1306</v>
      </c>
    </row>
    <row r="187" spans="1:4" ht="15" x14ac:dyDescent="0.2">
      <c r="A187" s="5" t="s">
        <v>566</v>
      </c>
      <c r="B187" s="6">
        <v>8.3000000000000007</v>
      </c>
      <c r="C187" s="6">
        <v>10.1</v>
      </c>
      <c r="D187" s="15">
        <v>1307</v>
      </c>
    </row>
    <row r="188" spans="1:4" ht="15" x14ac:dyDescent="0.2">
      <c r="A188" s="7" t="s">
        <v>567</v>
      </c>
      <c r="B188" s="8">
        <v>31.7</v>
      </c>
      <c r="C188" s="8">
        <v>35.9</v>
      </c>
      <c r="D188" s="16">
        <v>1308</v>
      </c>
    </row>
    <row r="189" spans="1:4" ht="15" x14ac:dyDescent="0.2">
      <c r="A189" s="5" t="s">
        <v>568</v>
      </c>
      <c r="B189" s="6">
        <v>8.6999999999999993</v>
      </c>
      <c r="C189" s="6">
        <v>9.9</v>
      </c>
      <c r="D189" s="15">
        <v>1309</v>
      </c>
    </row>
    <row r="190" spans="1:4" ht="15" x14ac:dyDescent="0.2">
      <c r="A190" s="7" t="s">
        <v>569</v>
      </c>
      <c r="B190" s="8">
        <v>12.9</v>
      </c>
      <c r="C190" s="8">
        <v>13.9</v>
      </c>
      <c r="D190" s="16">
        <v>1310</v>
      </c>
    </row>
    <row r="191" spans="1:4" ht="15" x14ac:dyDescent="0.2">
      <c r="A191" s="5" t="s">
        <v>570</v>
      </c>
      <c r="B191" s="6">
        <v>15.2</v>
      </c>
      <c r="C191" s="6">
        <v>17</v>
      </c>
      <c r="D191" s="15">
        <v>1311</v>
      </c>
    </row>
    <row r="192" spans="1:4" ht="15" x14ac:dyDescent="0.2">
      <c r="A192" s="7" t="s">
        <v>571</v>
      </c>
      <c r="B192" s="8">
        <v>39.799999999999997</v>
      </c>
      <c r="C192" s="8">
        <v>45.6</v>
      </c>
      <c r="D192" s="16">
        <v>1312</v>
      </c>
    </row>
    <row r="193" spans="1:4" ht="15" x14ac:dyDescent="0.2">
      <c r="A193" s="5" t="s">
        <v>572</v>
      </c>
      <c r="B193" s="6">
        <v>15.2</v>
      </c>
      <c r="C193" s="6">
        <v>17.8</v>
      </c>
      <c r="D193" s="15">
        <v>1313</v>
      </c>
    </row>
    <row r="194" spans="1:4" ht="15" x14ac:dyDescent="0.2">
      <c r="A194" s="7" t="s">
        <v>573</v>
      </c>
      <c r="B194" s="8">
        <v>12.9</v>
      </c>
      <c r="C194" s="8">
        <v>14.8</v>
      </c>
      <c r="D194" s="16">
        <v>1314</v>
      </c>
    </row>
    <row r="195" spans="1:4" ht="15" x14ac:dyDescent="0.2">
      <c r="A195" s="5" t="s">
        <v>574</v>
      </c>
      <c r="B195" s="6">
        <v>15.6</v>
      </c>
      <c r="C195" s="6">
        <v>15.9</v>
      </c>
      <c r="D195" s="15">
        <v>1315</v>
      </c>
    </row>
    <row r="196" spans="1:4" ht="15" x14ac:dyDescent="0.2">
      <c r="A196" s="7" t="s">
        <v>575</v>
      </c>
      <c r="B196" s="8">
        <v>17.600000000000001</v>
      </c>
      <c r="C196" s="8">
        <v>20</v>
      </c>
      <c r="D196" s="16">
        <v>1316</v>
      </c>
    </row>
    <row r="197" spans="1:4" ht="15" x14ac:dyDescent="0.2">
      <c r="A197" s="5" t="s">
        <v>576</v>
      </c>
      <c r="B197" s="6">
        <v>23.5</v>
      </c>
      <c r="C197" s="6">
        <v>26.6</v>
      </c>
      <c r="D197" s="15">
        <v>1317</v>
      </c>
    </row>
    <row r="198" spans="1:4" ht="15" x14ac:dyDescent="0.2">
      <c r="A198" s="7" t="s">
        <v>577</v>
      </c>
      <c r="B198" s="8">
        <v>15.5</v>
      </c>
      <c r="C198" s="8">
        <v>16.2</v>
      </c>
      <c r="D198" s="16">
        <v>1318</v>
      </c>
    </row>
    <row r="199" spans="1:4" ht="15" x14ac:dyDescent="0.2">
      <c r="A199" s="5" t="s">
        <v>578</v>
      </c>
      <c r="B199" s="6">
        <v>18.899999999999999</v>
      </c>
      <c r="C199" s="6">
        <v>21.4</v>
      </c>
      <c r="D199" s="15">
        <v>1401</v>
      </c>
    </row>
    <row r="200" spans="1:4" ht="15" x14ac:dyDescent="0.2">
      <c r="A200" s="7" t="s">
        <v>579</v>
      </c>
      <c r="B200" s="8">
        <v>16.7</v>
      </c>
      <c r="C200" s="8">
        <v>18.600000000000001</v>
      </c>
      <c r="D200" s="16">
        <v>1402</v>
      </c>
    </row>
    <row r="201" spans="1:4" ht="15" x14ac:dyDescent="0.2">
      <c r="A201" s="5" t="s">
        <v>580</v>
      </c>
      <c r="B201" s="6">
        <v>15.4</v>
      </c>
      <c r="C201" s="6">
        <v>14.9</v>
      </c>
      <c r="D201" s="15">
        <v>1403</v>
      </c>
    </row>
    <row r="202" spans="1:4" ht="15" x14ac:dyDescent="0.2">
      <c r="A202" s="7" t="s">
        <v>581</v>
      </c>
      <c r="B202" s="8">
        <v>14.1</v>
      </c>
      <c r="C202" s="8">
        <v>13.4</v>
      </c>
      <c r="D202" s="16">
        <v>1404</v>
      </c>
    </row>
    <row r="203" spans="1:4" ht="15" x14ac:dyDescent="0.2">
      <c r="A203" s="5" t="s">
        <v>582</v>
      </c>
      <c r="B203" s="6">
        <v>12.6</v>
      </c>
      <c r="C203" s="6">
        <v>13.8</v>
      </c>
      <c r="D203" s="15">
        <v>1405</v>
      </c>
    </row>
    <row r="204" spans="1:4" ht="15" x14ac:dyDescent="0.2">
      <c r="A204" s="7" t="s">
        <v>583</v>
      </c>
      <c r="B204" s="8">
        <v>15.8</v>
      </c>
      <c r="C204" s="8">
        <v>16.100000000000001</v>
      </c>
      <c r="D204" s="16">
        <v>1406</v>
      </c>
    </row>
    <row r="205" spans="1:4" ht="15" x14ac:dyDescent="0.2">
      <c r="A205" s="5" t="s">
        <v>584</v>
      </c>
      <c r="B205" s="6">
        <v>15.6</v>
      </c>
      <c r="C205" s="6">
        <v>14.3</v>
      </c>
      <c r="D205" s="15">
        <v>1407</v>
      </c>
    </row>
    <row r="206" spans="1:4" ht="15" x14ac:dyDescent="0.2">
      <c r="A206" s="7" t="s">
        <v>585</v>
      </c>
      <c r="B206" s="8">
        <v>19.100000000000001</v>
      </c>
      <c r="C206" s="8">
        <v>17.100000000000001</v>
      </c>
      <c r="D206" s="16">
        <v>1408</v>
      </c>
    </row>
    <row r="207" spans="1:4" ht="15" x14ac:dyDescent="0.2">
      <c r="A207" s="5" t="s">
        <v>586</v>
      </c>
      <c r="B207" s="6">
        <v>12.5</v>
      </c>
      <c r="C207" s="6">
        <v>12.4</v>
      </c>
      <c r="D207" s="15">
        <v>1409</v>
      </c>
    </row>
    <row r="208" spans="1:4" ht="15" x14ac:dyDescent="0.2">
      <c r="A208" s="7" t="s">
        <v>587</v>
      </c>
      <c r="B208" s="8">
        <v>17.3</v>
      </c>
      <c r="C208" s="8">
        <v>19.100000000000001</v>
      </c>
      <c r="D208" s="16">
        <v>1410</v>
      </c>
    </row>
    <row r="209" spans="1:4" ht="15" x14ac:dyDescent="0.2">
      <c r="A209" s="5" t="s">
        <v>588</v>
      </c>
      <c r="B209" s="6">
        <v>10.1</v>
      </c>
      <c r="C209" s="6">
        <v>12.2</v>
      </c>
      <c r="D209" s="15">
        <v>1411</v>
      </c>
    </row>
    <row r="210" spans="1:4" ht="15" x14ac:dyDescent="0.2">
      <c r="A210" s="7" t="s">
        <v>589</v>
      </c>
      <c r="B210" s="8">
        <v>18.2</v>
      </c>
      <c r="C210" s="8">
        <v>17.8</v>
      </c>
      <c r="D210" s="16">
        <v>1412</v>
      </c>
    </row>
    <row r="211" spans="1:4" ht="15" x14ac:dyDescent="0.2">
      <c r="A211" s="5" t="s">
        <v>590</v>
      </c>
      <c r="B211" s="6">
        <v>7.7</v>
      </c>
      <c r="C211" s="6">
        <v>11.3</v>
      </c>
      <c r="D211" s="15">
        <v>1413</v>
      </c>
    </row>
    <row r="212" spans="1:4" ht="15" x14ac:dyDescent="0.2">
      <c r="A212" s="7" t="s">
        <v>591</v>
      </c>
      <c r="B212" s="8">
        <v>13.4</v>
      </c>
      <c r="C212" s="8">
        <v>15.3</v>
      </c>
      <c r="D212" s="16">
        <v>1414</v>
      </c>
    </row>
    <row r="213" spans="1:4" ht="15" x14ac:dyDescent="0.2">
      <c r="A213" s="5" t="s">
        <v>592</v>
      </c>
      <c r="B213" s="6">
        <v>11.2</v>
      </c>
      <c r="C213" s="6">
        <v>10.7</v>
      </c>
      <c r="D213" s="15">
        <v>1415</v>
      </c>
    </row>
    <row r="214" spans="1:4" ht="15" x14ac:dyDescent="0.2">
      <c r="A214" s="7" t="s">
        <v>593</v>
      </c>
      <c r="B214" s="8">
        <v>20.3</v>
      </c>
      <c r="C214" s="8">
        <v>21.5</v>
      </c>
      <c r="D214" s="16">
        <v>1416</v>
      </c>
    </row>
    <row r="215" spans="1:4" ht="15" x14ac:dyDescent="0.2">
      <c r="A215" s="5" t="s">
        <v>594</v>
      </c>
      <c r="B215" s="6">
        <v>10.5</v>
      </c>
      <c r="C215" s="6">
        <v>10</v>
      </c>
      <c r="D215" s="15">
        <v>1417</v>
      </c>
    </row>
    <row r="216" spans="1:4" ht="15" x14ac:dyDescent="0.2">
      <c r="A216" s="7" t="s">
        <v>595</v>
      </c>
      <c r="B216" s="8">
        <v>19.399999999999999</v>
      </c>
      <c r="C216" s="8">
        <v>19.899999999999999</v>
      </c>
      <c r="D216" s="16">
        <v>1418</v>
      </c>
    </row>
    <row r="217" spans="1:4" ht="15" x14ac:dyDescent="0.2">
      <c r="A217" s="5" t="s">
        <v>596</v>
      </c>
      <c r="B217" s="6">
        <v>18.600000000000001</v>
      </c>
      <c r="C217" s="6">
        <v>18.899999999999999</v>
      </c>
      <c r="D217" s="15">
        <v>1419</v>
      </c>
    </row>
    <row r="218" spans="1:4" ht="15" x14ac:dyDescent="0.2">
      <c r="A218" s="7" t="s">
        <v>597</v>
      </c>
      <c r="B218" s="8">
        <v>10.6</v>
      </c>
      <c r="C218" s="8">
        <v>12.5</v>
      </c>
      <c r="D218" s="16">
        <v>1420</v>
      </c>
    </row>
    <row r="219" spans="1:4" ht="15" x14ac:dyDescent="0.2">
      <c r="A219" s="5" t="s">
        <v>598</v>
      </c>
      <c r="B219" s="6">
        <v>17.600000000000001</v>
      </c>
      <c r="C219" s="6">
        <v>17.8</v>
      </c>
      <c r="D219" s="15">
        <v>1421</v>
      </c>
    </row>
    <row r="220" spans="1:4" ht="15" x14ac:dyDescent="0.2">
      <c r="A220" s="7" t="s">
        <v>599</v>
      </c>
      <c r="B220" s="8">
        <v>13.3</v>
      </c>
      <c r="C220" s="8">
        <v>15.4</v>
      </c>
      <c r="D220" s="16">
        <v>1501</v>
      </c>
    </row>
    <row r="221" spans="1:4" ht="15" x14ac:dyDescent="0.2">
      <c r="A221" s="5" t="s">
        <v>600</v>
      </c>
      <c r="B221" s="6">
        <v>15.8</v>
      </c>
      <c r="C221" s="6">
        <v>16.7</v>
      </c>
      <c r="D221" s="15">
        <v>1502</v>
      </c>
    </row>
    <row r="222" spans="1:4" ht="15" x14ac:dyDescent="0.2">
      <c r="A222" s="7" t="s">
        <v>601</v>
      </c>
      <c r="B222" s="8">
        <v>24.1</v>
      </c>
      <c r="C222" s="8">
        <v>24.7</v>
      </c>
      <c r="D222" s="16">
        <v>1503</v>
      </c>
    </row>
    <row r="223" spans="1:4" ht="15" x14ac:dyDescent="0.2">
      <c r="A223" s="5" t="s">
        <v>602</v>
      </c>
      <c r="B223" s="6">
        <v>20.3</v>
      </c>
      <c r="C223" s="6">
        <v>19.899999999999999</v>
      </c>
      <c r="D223" s="15">
        <v>1504</v>
      </c>
    </row>
    <row r="224" spans="1:4" ht="15" x14ac:dyDescent="0.2">
      <c r="A224" s="7" t="s">
        <v>603</v>
      </c>
      <c r="B224" s="8">
        <v>11.5</v>
      </c>
      <c r="C224" s="8">
        <v>14.7</v>
      </c>
      <c r="D224" s="16">
        <v>1505</v>
      </c>
    </row>
    <row r="225" spans="1:4" ht="15" x14ac:dyDescent="0.2">
      <c r="A225" s="5" t="s">
        <v>604</v>
      </c>
      <c r="B225" s="6">
        <v>13.7</v>
      </c>
      <c r="C225" s="6">
        <v>12.5</v>
      </c>
      <c r="D225" s="15">
        <v>1506</v>
      </c>
    </row>
    <row r="226" spans="1:4" ht="15" x14ac:dyDescent="0.2">
      <c r="A226" s="7" t="s">
        <v>605</v>
      </c>
      <c r="B226" s="8">
        <v>14.5</v>
      </c>
      <c r="C226" s="8">
        <v>14.3</v>
      </c>
      <c r="D226" s="16">
        <v>1507</v>
      </c>
    </row>
    <row r="227" spans="1:4" ht="15" x14ac:dyDescent="0.2">
      <c r="A227" s="5" t="s">
        <v>606</v>
      </c>
      <c r="B227" s="6">
        <v>14.1</v>
      </c>
      <c r="C227" s="6">
        <v>14.4</v>
      </c>
      <c r="D227" s="15">
        <v>1508</v>
      </c>
    </row>
    <row r="228" spans="1:4" ht="15" x14ac:dyDescent="0.2">
      <c r="A228" s="7" t="s">
        <v>607</v>
      </c>
      <c r="B228" s="8">
        <v>19.399999999999999</v>
      </c>
      <c r="C228" s="8">
        <v>17.2</v>
      </c>
      <c r="D228" s="16">
        <v>1509</v>
      </c>
    </row>
    <row r="229" spans="1:4" ht="15" x14ac:dyDescent="0.2">
      <c r="A229" s="5" t="s">
        <v>608</v>
      </c>
      <c r="B229" s="6">
        <v>14.8</v>
      </c>
      <c r="C229" s="6">
        <v>14.8</v>
      </c>
      <c r="D229" s="15">
        <v>1510</v>
      </c>
    </row>
    <row r="230" spans="1:4" ht="15" x14ac:dyDescent="0.2">
      <c r="A230" s="7" t="s">
        <v>609</v>
      </c>
      <c r="B230" s="8">
        <v>11</v>
      </c>
      <c r="C230" s="8">
        <v>11</v>
      </c>
      <c r="D230" s="16">
        <v>1511</v>
      </c>
    </row>
    <row r="231" spans="1:4" ht="15" x14ac:dyDescent="0.2">
      <c r="A231" s="5" t="s">
        <v>610</v>
      </c>
      <c r="B231" s="6">
        <v>17.8</v>
      </c>
      <c r="C231" s="6">
        <v>18.399999999999999</v>
      </c>
      <c r="D231" s="15">
        <v>1512</v>
      </c>
    </row>
    <row r="232" spans="1:4" ht="15" x14ac:dyDescent="0.2">
      <c r="A232" s="7" t="s">
        <v>611</v>
      </c>
      <c r="B232" s="8">
        <v>19.7</v>
      </c>
      <c r="C232" s="8">
        <v>16.7</v>
      </c>
      <c r="D232" s="16">
        <v>1513</v>
      </c>
    </row>
    <row r="233" spans="1:4" ht="15" x14ac:dyDescent="0.2">
      <c r="A233" s="5" t="s">
        <v>612</v>
      </c>
      <c r="B233" s="6">
        <v>13.7</v>
      </c>
      <c r="C233" s="6">
        <v>14.2</v>
      </c>
      <c r="D233" s="15">
        <v>1601</v>
      </c>
    </row>
    <row r="234" spans="1:4" ht="15" x14ac:dyDescent="0.2">
      <c r="A234" s="7" t="s">
        <v>613</v>
      </c>
      <c r="B234" s="8">
        <v>13.8</v>
      </c>
      <c r="C234" s="8">
        <v>15.7</v>
      </c>
      <c r="D234" s="16">
        <v>1602</v>
      </c>
    </row>
    <row r="235" spans="1:4" ht="15" x14ac:dyDescent="0.2">
      <c r="A235" s="5" t="s">
        <v>614</v>
      </c>
      <c r="B235" s="6">
        <v>15.1</v>
      </c>
      <c r="C235" s="6">
        <v>17.3</v>
      </c>
      <c r="D235" s="15">
        <v>1603</v>
      </c>
    </row>
    <row r="236" spans="1:4" ht="15" x14ac:dyDescent="0.2">
      <c r="A236" s="7" t="s">
        <v>615</v>
      </c>
      <c r="B236" s="8">
        <v>13.1</v>
      </c>
      <c r="C236" s="8">
        <v>15.7</v>
      </c>
      <c r="D236" s="16">
        <v>1604</v>
      </c>
    </row>
    <row r="237" spans="1:4" ht="15" x14ac:dyDescent="0.2">
      <c r="A237" s="5" t="s">
        <v>616</v>
      </c>
      <c r="B237" s="6">
        <v>14.2</v>
      </c>
      <c r="C237" s="6">
        <v>15.7</v>
      </c>
      <c r="D237" s="15">
        <v>1605</v>
      </c>
    </row>
    <row r="238" spans="1:4" ht="15" x14ac:dyDescent="0.2">
      <c r="A238" s="7" t="s">
        <v>617</v>
      </c>
      <c r="B238" s="8">
        <v>12.1</v>
      </c>
      <c r="C238" s="8">
        <v>12.9</v>
      </c>
      <c r="D238" s="16">
        <v>1606</v>
      </c>
    </row>
    <row r="239" spans="1:4" ht="15" x14ac:dyDescent="0.2">
      <c r="A239" s="5" t="s">
        <v>618</v>
      </c>
      <c r="B239" s="6">
        <v>12.3</v>
      </c>
      <c r="C239" s="6">
        <v>13.9</v>
      </c>
      <c r="D239" s="15">
        <v>1607</v>
      </c>
    </row>
    <row r="240" spans="1:4" ht="15" x14ac:dyDescent="0.2">
      <c r="A240" s="7" t="s">
        <v>619</v>
      </c>
      <c r="B240" s="8">
        <v>11.5</v>
      </c>
      <c r="C240" s="8">
        <v>11</v>
      </c>
      <c r="D240" s="16">
        <v>1608</v>
      </c>
    </row>
    <row r="241" spans="1:4" ht="15" x14ac:dyDescent="0.2">
      <c r="A241" s="5" t="s">
        <v>620</v>
      </c>
      <c r="B241" s="6">
        <v>20.8</v>
      </c>
      <c r="C241" s="6">
        <v>22.7</v>
      </c>
      <c r="D241" s="15">
        <v>1609</v>
      </c>
    </row>
    <row r="242" spans="1:4" ht="15" x14ac:dyDescent="0.2">
      <c r="A242" s="7" t="s">
        <v>621</v>
      </c>
      <c r="B242" s="8">
        <v>13.4</v>
      </c>
      <c r="C242" s="8">
        <v>13.9</v>
      </c>
      <c r="D242" s="16">
        <v>1610</v>
      </c>
    </row>
    <row r="243" spans="1:4" ht="15" x14ac:dyDescent="0.2">
      <c r="A243" s="5" t="s">
        <v>622</v>
      </c>
      <c r="B243" s="6">
        <v>15.7</v>
      </c>
      <c r="C243" s="6">
        <v>17.5</v>
      </c>
      <c r="D243" s="15">
        <v>1701</v>
      </c>
    </row>
    <row r="244" spans="1:4" ht="15" x14ac:dyDescent="0.2">
      <c r="A244" s="7" t="s">
        <v>623</v>
      </c>
      <c r="B244" s="8">
        <v>10.9</v>
      </c>
      <c r="C244" s="8">
        <v>13.5</v>
      </c>
      <c r="D244" s="16">
        <v>1702</v>
      </c>
    </row>
    <row r="245" spans="1:4" ht="15" x14ac:dyDescent="0.2">
      <c r="A245" s="5" t="s">
        <v>624</v>
      </c>
      <c r="B245" s="6">
        <v>15.1</v>
      </c>
      <c r="C245" s="6">
        <v>17.2</v>
      </c>
      <c r="D245" s="15">
        <v>1703</v>
      </c>
    </row>
    <row r="246" spans="1:4" ht="15" x14ac:dyDescent="0.2">
      <c r="A246" s="7" t="s">
        <v>625</v>
      </c>
      <c r="B246" s="8">
        <v>7.6</v>
      </c>
      <c r="C246" s="8">
        <v>10</v>
      </c>
      <c r="D246" s="16">
        <v>1704</v>
      </c>
    </row>
    <row r="247" spans="1:4" ht="15" x14ac:dyDescent="0.2">
      <c r="A247" s="5" t="s">
        <v>626</v>
      </c>
      <c r="B247" s="6">
        <v>10.1</v>
      </c>
      <c r="C247" s="6">
        <v>11.3</v>
      </c>
      <c r="D247" s="15">
        <v>1705</v>
      </c>
    </row>
    <row r="248" spans="1:4" ht="15" x14ac:dyDescent="0.2">
      <c r="A248" s="7" t="s">
        <v>627</v>
      </c>
      <c r="B248" s="8">
        <v>15.2</v>
      </c>
      <c r="C248" s="8">
        <v>15.8</v>
      </c>
      <c r="D248" s="16">
        <v>1706</v>
      </c>
    </row>
    <row r="249" spans="1:4" ht="15" x14ac:dyDescent="0.2">
      <c r="A249" s="5" t="s">
        <v>628</v>
      </c>
      <c r="B249" s="6">
        <v>17.7</v>
      </c>
      <c r="C249" s="6">
        <v>19.3</v>
      </c>
      <c r="D249" s="15">
        <v>1707</v>
      </c>
    </row>
    <row r="250" spans="1:4" ht="15" x14ac:dyDescent="0.2">
      <c r="A250" s="7" t="s">
        <v>629</v>
      </c>
      <c r="B250" s="8">
        <v>19.100000000000001</v>
      </c>
      <c r="C250" s="8">
        <v>20.6</v>
      </c>
      <c r="D250" s="16">
        <v>1708</v>
      </c>
    </row>
    <row r="251" spans="1:4" ht="15" x14ac:dyDescent="0.2">
      <c r="A251" s="5" t="s">
        <v>630</v>
      </c>
      <c r="B251" s="6">
        <v>18.3</v>
      </c>
      <c r="C251" s="6">
        <v>13.8</v>
      </c>
      <c r="D251" s="15">
        <v>1709</v>
      </c>
    </row>
    <row r="252" spans="1:4" ht="15" x14ac:dyDescent="0.2">
      <c r="A252" s="7" t="s">
        <v>631</v>
      </c>
      <c r="B252" s="8">
        <v>19.7</v>
      </c>
      <c r="C252" s="8">
        <v>23.6</v>
      </c>
      <c r="D252" s="16">
        <v>1710</v>
      </c>
    </row>
    <row r="253" spans="1:4" ht="15" x14ac:dyDescent="0.2">
      <c r="A253" s="5" t="s">
        <v>632</v>
      </c>
      <c r="B253" s="6">
        <v>17.2</v>
      </c>
      <c r="C253" s="6">
        <v>14.1</v>
      </c>
      <c r="D253" s="15">
        <v>1711</v>
      </c>
    </row>
    <row r="254" spans="1:4" ht="15" x14ac:dyDescent="0.2">
      <c r="A254" s="7" t="s">
        <v>633</v>
      </c>
      <c r="B254" s="8">
        <v>14.2</v>
      </c>
      <c r="C254" s="8">
        <v>15.8</v>
      </c>
      <c r="D254" s="16">
        <v>1712</v>
      </c>
    </row>
    <row r="255" spans="1:4" ht="15" x14ac:dyDescent="0.2">
      <c r="A255" s="5" t="s">
        <v>634</v>
      </c>
      <c r="B255" s="6">
        <v>13</v>
      </c>
      <c r="C255" s="6">
        <v>15.1</v>
      </c>
      <c r="D255" s="15">
        <v>1713</v>
      </c>
    </row>
    <row r="256" spans="1:4" ht="15" x14ac:dyDescent="0.2">
      <c r="A256" s="7" t="s">
        <v>635</v>
      </c>
      <c r="B256" s="8">
        <v>27.1</v>
      </c>
      <c r="C256" s="8">
        <v>29.4</v>
      </c>
      <c r="D256" s="16">
        <v>1714</v>
      </c>
    </row>
    <row r="257" spans="1:4" ht="15" x14ac:dyDescent="0.2">
      <c r="A257" s="5" t="s">
        <v>636</v>
      </c>
      <c r="B257" s="6">
        <v>13.6</v>
      </c>
      <c r="C257" s="6">
        <v>14</v>
      </c>
      <c r="D257" s="15">
        <v>1801</v>
      </c>
    </row>
    <row r="258" spans="1:4" ht="15" x14ac:dyDescent="0.2">
      <c r="A258" s="7" t="s">
        <v>637</v>
      </c>
      <c r="B258" s="8">
        <v>16.399999999999999</v>
      </c>
      <c r="C258" s="8">
        <v>21.6</v>
      </c>
      <c r="D258" s="16">
        <v>1802</v>
      </c>
    </row>
    <row r="259" spans="1:4" ht="15" x14ac:dyDescent="0.2">
      <c r="A259" s="5" t="s">
        <v>638</v>
      </c>
      <c r="B259" s="6">
        <v>10.3</v>
      </c>
      <c r="C259" s="6">
        <v>12</v>
      </c>
      <c r="D259" s="15">
        <v>1803</v>
      </c>
    </row>
    <row r="260" spans="1:4" ht="15" x14ac:dyDescent="0.2">
      <c r="A260" s="7" t="s">
        <v>639</v>
      </c>
      <c r="B260" s="8">
        <v>5.0999999999999996</v>
      </c>
      <c r="C260" s="8">
        <v>5.5</v>
      </c>
      <c r="D260" s="16">
        <v>1804</v>
      </c>
    </row>
    <row r="261" spans="1:4" ht="15" x14ac:dyDescent="0.2">
      <c r="A261" s="5" t="s">
        <v>640</v>
      </c>
      <c r="B261" s="6">
        <v>16.899999999999999</v>
      </c>
      <c r="C261" s="6">
        <v>17.399999999999999</v>
      </c>
      <c r="D261" s="15">
        <v>1805</v>
      </c>
    </row>
    <row r="262" spans="1:4" ht="15" x14ac:dyDescent="0.2">
      <c r="A262" s="7" t="s">
        <v>641</v>
      </c>
      <c r="B262" s="8">
        <v>12</v>
      </c>
      <c r="C262" s="8">
        <v>12.4</v>
      </c>
      <c r="D262" s="16">
        <v>1806</v>
      </c>
    </row>
    <row r="263" spans="1:4" ht="15" x14ac:dyDescent="0.2">
      <c r="A263" s="5" t="s">
        <v>642</v>
      </c>
      <c r="B263" s="6">
        <v>15.3</v>
      </c>
      <c r="C263" s="6">
        <v>18.3</v>
      </c>
      <c r="D263" s="15">
        <v>1807</v>
      </c>
    </row>
    <row r="264" spans="1:4" ht="15" x14ac:dyDescent="0.2">
      <c r="A264" s="9" t="s">
        <v>643</v>
      </c>
      <c r="B264" s="8">
        <v>24.8</v>
      </c>
      <c r="C264" s="8">
        <v>25.7</v>
      </c>
      <c r="D264" s="16">
        <v>1808</v>
      </c>
    </row>
    <row r="265" spans="1:4" ht="15" x14ac:dyDescent="0.2">
      <c r="A265" s="5" t="s">
        <v>644</v>
      </c>
      <c r="B265" s="6">
        <v>16.100000000000001</v>
      </c>
      <c r="C265" s="6">
        <v>16.3</v>
      </c>
      <c r="D265" s="15">
        <v>1809</v>
      </c>
    </row>
    <row r="266" spans="1:4" ht="15" x14ac:dyDescent="0.2">
      <c r="A266" s="7" t="s">
        <v>645</v>
      </c>
      <c r="B266" s="8">
        <v>19.899999999999999</v>
      </c>
      <c r="C266" s="8">
        <v>20.2</v>
      </c>
      <c r="D266" s="16">
        <v>1810</v>
      </c>
    </row>
    <row r="267" spans="1:4" ht="15" x14ac:dyDescent="0.2">
      <c r="A267" s="5" t="s">
        <v>646</v>
      </c>
      <c r="B267" s="6">
        <v>10.199999999999999</v>
      </c>
      <c r="C267" s="6">
        <v>12.1</v>
      </c>
      <c r="D267" s="15">
        <v>1811</v>
      </c>
    </row>
    <row r="268" spans="1:4" ht="15" x14ac:dyDescent="0.2">
      <c r="A268" s="7" t="s">
        <v>647</v>
      </c>
      <c r="B268" s="8">
        <v>13.4</v>
      </c>
      <c r="C268" s="8">
        <v>12.2</v>
      </c>
      <c r="D268" s="16">
        <v>1812</v>
      </c>
    </row>
    <row r="269" spans="1:4" ht="15" x14ac:dyDescent="0.2">
      <c r="A269" s="5" t="s">
        <v>648</v>
      </c>
      <c r="B269" s="6">
        <v>12.8</v>
      </c>
      <c r="C269" s="6">
        <v>14.9</v>
      </c>
      <c r="D269" s="15">
        <v>1813</v>
      </c>
    </row>
    <row r="270" spans="1:4" ht="15" x14ac:dyDescent="0.2">
      <c r="A270" s="7" t="s">
        <v>649</v>
      </c>
      <c r="B270" s="8">
        <v>13.1</v>
      </c>
      <c r="C270" s="8">
        <v>18.2</v>
      </c>
      <c r="D270" s="16">
        <v>1814</v>
      </c>
    </row>
    <row r="271" spans="1:4" ht="15" x14ac:dyDescent="0.2">
      <c r="A271" s="5" t="s">
        <v>650</v>
      </c>
      <c r="B271" s="6">
        <v>16</v>
      </c>
      <c r="C271" s="6">
        <v>13.3</v>
      </c>
      <c r="D271" s="15">
        <v>1815</v>
      </c>
    </row>
    <row r="272" spans="1:4" ht="15" x14ac:dyDescent="0.2">
      <c r="A272" s="7" t="s">
        <v>651</v>
      </c>
      <c r="B272" s="8">
        <v>10.5</v>
      </c>
      <c r="C272" s="8">
        <v>12.4</v>
      </c>
      <c r="D272" s="16">
        <v>1816</v>
      </c>
    </row>
    <row r="273" spans="1:4" ht="15" x14ac:dyDescent="0.2">
      <c r="A273" s="5" t="s">
        <v>652</v>
      </c>
      <c r="B273" s="6">
        <v>8.8000000000000007</v>
      </c>
      <c r="C273" s="6">
        <v>9.8000000000000007</v>
      </c>
      <c r="D273" s="15">
        <v>1817</v>
      </c>
    </row>
    <row r="274" spans="1:4" ht="15" x14ac:dyDescent="0.2">
      <c r="A274" s="7" t="s">
        <v>653</v>
      </c>
      <c r="B274" s="8">
        <v>11.3</v>
      </c>
      <c r="C274" s="8">
        <v>12.6</v>
      </c>
      <c r="D274" s="16">
        <v>1818</v>
      </c>
    </row>
    <row r="275" spans="1:4" ht="15" x14ac:dyDescent="0.2">
      <c r="A275" s="5" t="s">
        <v>654</v>
      </c>
      <c r="B275" s="6">
        <v>17.399999999999999</v>
      </c>
      <c r="C275" s="6">
        <v>18.5</v>
      </c>
      <c r="D275" s="15">
        <v>1819</v>
      </c>
    </row>
    <row r="276" spans="1:4" ht="15" x14ac:dyDescent="0.2">
      <c r="A276" s="7" t="s">
        <v>655</v>
      </c>
      <c r="B276" s="8">
        <v>10.8</v>
      </c>
      <c r="C276" s="8">
        <v>9.1</v>
      </c>
      <c r="D276" s="16">
        <v>1820</v>
      </c>
    </row>
    <row r="277" spans="1:4" ht="15" x14ac:dyDescent="0.2">
      <c r="A277" s="5" t="s">
        <v>656</v>
      </c>
      <c r="B277" s="6">
        <v>18.100000000000001</v>
      </c>
      <c r="C277" s="6">
        <v>19.5</v>
      </c>
      <c r="D277" s="15">
        <v>1821</v>
      </c>
    </row>
    <row r="278" spans="1:4" ht="15" x14ac:dyDescent="0.2">
      <c r="A278" s="7" t="s">
        <v>657</v>
      </c>
      <c r="B278" s="8">
        <v>12.4</v>
      </c>
      <c r="C278" s="8">
        <v>15.8</v>
      </c>
      <c r="D278" s="16">
        <v>1822</v>
      </c>
    </row>
    <row r="279" spans="1:4" ht="15" x14ac:dyDescent="0.2">
      <c r="A279" s="5" t="s">
        <v>658</v>
      </c>
      <c r="B279" s="6">
        <v>23</v>
      </c>
      <c r="C279" s="6">
        <v>24.5</v>
      </c>
      <c r="D279" s="15">
        <v>1823</v>
      </c>
    </row>
    <row r="280" spans="1:4" ht="15" x14ac:dyDescent="0.2">
      <c r="A280" s="7" t="s">
        <v>659</v>
      </c>
      <c r="B280" s="8">
        <v>12.3</v>
      </c>
      <c r="C280" s="8">
        <v>15.3</v>
      </c>
      <c r="D280" s="16">
        <v>1824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229ECD-639E-4FD3-B9EE-30A8DC831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Database</vt:lpstr>
      <vt:lpstr>Data Description</vt:lpstr>
      <vt:lpstr>Unclean Data</vt:lpstr>
      <vt:lpstr>Recipients of unemployment bene</vt:lpstr>
      <vt:lpstr>EMPL with higher educ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 MARIA FARIA NOBRE DOS SANTOS FRÓIS</cp:lastModifiedBy>
  <cp:revision/>
  <dcterms:created xsi:type="dcterms:W3CDTF">2026-02-26T17:03:47Z</dcterms:created>
  <dcterms:modified xsi:type="dcterms:W3CDTF">2026-03-25T18:27:16Z</dcterms:modified>
  <cp:category/>
  <cp:contentStatus/>
</cp:coreProperties>
</file>